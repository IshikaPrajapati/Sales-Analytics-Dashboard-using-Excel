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Ishika\OneDrive\Documents\"/>
    </mc:Choice>
  </mc:AlternateContent>
  <xr:revisionPtr revIDLastSave="0" documentId="13_ncr:1_{F2B1F138-D150-43BA-94B8-3132A31EFC51}" xr6:coauthVersionLast="47" xr6:coauthVersionMax="47" xr10:uidLastSave="{00000000-0000-0000-0000-000000000000}"/>
  <bookViews>
    <workbookView xWindow="-108" yWindow="-108" windowWidth="23256" windowHeight="12456" xr2:uid="{946D1A16-AB7B-41B9-BD9D-79C8D8791740}"/>
  </bookViews>
  <sheets>
    <sheet name="sales_data_sample" sheetId="1" r:id="rId1"/>
    <sheet name="dashboard" sheetId="2" r:id="rId2"/>
    <sheet name="salesdata" sheetId="3" r:id="rId3"/>
  </sheets>
  <definedNames>
    <definedName name="Slicer_CITY">#N/A</definedName>
    <definedName name="Slicer_PRODUCT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3" l="1"/>
  <c r="H28" i="3"/>
  <c r="H27" i="3"/>
  <c r="H26" i="3"/>
  <c r="H25" i="3"/>
  <c r="B12" i="3"/>
</calcChain>
</file>

<file path=xl/sharedStrings.xml><?xml version="1.0" encoding="utf-8"?>
<sst xmlns="http://schemas.openxmlformats.org/spreadsheetml/2006/main" count="3344" uniqueCount="205">
  <si>
    <t>ORDERNUMBER</t>
  </si>
  <si>
    <t>QUANTITYORDERED</t>
  </si>
  <si>
    <t>PRICEEACH</t>
  </si>
  <si>
    <t>ORDERLINENUMBER</t>
  </si>
  <si>
    <t>SALES</t>
  </si>
  <si>
    <t>ORDERDATE</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</si>
  <si>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</si>
  <si>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</si>
  <si>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</si>
  <si>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</si>
  <si>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</si>
  <si>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</si>
  <si>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</si>
  <si>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</si>
  <si>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</si>
  <si>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</si>
  <si>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</si>
  <si>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</si>
  <si>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</si>
  <si>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</si>
  <si>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</si>
  <si>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Motorcycles</t>
  </si>
  <si>
    <t>S10_1678</t>
  </si>
  <si>
    <t>NYC</t>
  </si>
  <si>
    <t>NY</t>
  </si>
  <si>
    <t>USA</t>
  </si>
  <si>
    <t>NA</t>
  </si>
  <si>
    <t>Small</t>
  </si>
  <si>
    <t>Medium</t>
  </si>
  <si>
    <t>Young</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</si>
  <si>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</si>
  <si>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</si>
  <si>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</si>
  <si>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</si>
  <si>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</si>
  <si>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</si>
  <si>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</si>
  <si>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</si>
  <si>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</si>
  <si>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</si>
  <si>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</si>
  <si>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</si>
  <si>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</si>
  <si>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</si>
  <si>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</si>
  <si>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Hernandez</t>
  </si>
  <si>
    <t>Large</t>
  </si>
  <si>
    <t>Souveniers And Things Co.</t>
  </si>
  <si>
    <t>+61 2 9495 8555</t>
  </si>
  <si>
    <t>Monitor Money Building, 815 Pacific Hwy</t>
  </si>
  <si>
    <t>Level 6</t>
  </si>
  <si>
    <t>Chatswood</t>
  </si>
  <si>
    <t>NSW</t>
  </si>
  <si>
    <t>Huxley</t>
  </si>
  <si>
    <t>Adrian</t>
  </si>
  <si>
    <t>Classic Cars</t>
  </si>
  <si>
    <t>S10_1949</t>
  </si>
  <si>
    <t>Classic Legends Inc.</t>
  </si>
  <si>
    <t>5905 Pompton St.</t>
  </si>
  <si>
    <t>Suite 750</t>
  </si>
  <si>
    <t>Maria</t>
  </si>
  <si>
    <t>Anna's Decorations, Ltd</t>
  </si>
  <si>
    <t>02 9936 8555</t>
  </si>
  <si>
    <t>201 Miller Street</t>
  </si>
  <si>
    <t>Level 15</t>
  </si>
  <si>
    <t>North Sydney</t>
  </si>
  <si>
    <t>O'Hara</t>
  </si>
  <si>
    <t>Anna</t>
  </si>
  <si>
    <t>S10_2016</t>
  </si>
  <si>
    <t>S10_4698</t>
  </si>
  <si>
    <t>S10_4757</t>
  </si>
  <si>
    <t>S10_4962</t>
  </si>
  <si>
    <t>S12_1099</t>
  </si>
  <si>
    <t>S12_1108</t>
  </si>
  <si>
    <t>Muscle Machine Inc</t>
  </si>
  <si>
    <t>4092 Furth Circle</t>
  </si>
  <si>
    <t>Suite 400</t>
  </si>
  <si>
    <t>Jeff</t>
  </si>
  <si>
    <t>Trucks and Buses</t>
  </si>
  <si>
    <t>S12_1666</t>
  </si>
  <si>
    <t>S12_2823</t>
  </si>
  <si>
    <t>Microscale Inc.</t>
  </si>
  <si>
    <t>5290 North Pendale Street</t>
  </si>
  <si>
    <t>Suite 200</t>
  </si>
  <si>
    <t>Kuo</t>
  </si>
  <si>
    <t>Kee</t>
  </si>
  <si>
    <t>S12_3148</t>
  </si>
  <si>
    <t>S12_3891</t>
  </si>
  <si>
    <t>S12_3990</t>
  </si>
  <si>
    <t>S12_4473</t>
  </si>
  <si>
    <t>S18_1097</t>
  </si>
  <si>
    <t>S18_1129</t>
  </si>
  <si>
    <t>Vintage Cars</t>
  </si>
  <si>
    <t>S18_1342</t>
  </si>
  <si>
    <t>S18_1367</t>
  </si>
  <si>
    <t>S18_1589</t>
  </si>
  <si>
    <t>Planes</t>
  </si>
  <si>
    <t>S18_1749</t>
  </si>
  <si>
    <t>S18_1889</t>
  </si>
  <si>
    <t>S18_1984</t>
  </si>
  <si>
    <t>S18_2238</t>
  </si>
  <si>
    <t>S18_2248</t>
  </si>
  <si>
    <t>S18_2319</t>
  </si>
  <si>
    <t>S18_2325</t>
  </si>
  <si>
    <t>S18_2432</t>
  </si>
  <si>
    <t>S18_2581</t>
  </si>
  <si>
    <t>S18_2625</t>
  </si>
  <si>
    <t>S18_2795</t>
  </si>
  <si>
    <t>S18_2870</t>
  </si>
  <si>
    <t>S18_2949</t>
  </si>
  <si>
    <t>S18_2957</t>
  </si>
  <si>
    <t>Ships</t>
  </si>
  <si>
    <t>S18_3136</t>
  </si>
  <si>
    <t>S18_3232</t>
  </si>
  <si>
    <t>Trains</t>
  </si>
  <si>
    <t>S18_3278</t>
  </si>
  <si>
    <t>S18_3320</t>
  </si>
  <si>
    <t>S18_3482</t>
  </si>
  <si>
    <t>S18_3685</t>
  </si>
  <si>
    <t>S18_3782</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</si>
  <si>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</si>
  <si>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</si>
  <si>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</si>
  <si>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</si>
  <si>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</si>
  <si>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</si>
  <si>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</si>
  <si>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</si>
  <si>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</si>
  <si>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</si>
  <si>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</si>
  <si>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</si>
  <si>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</si>
  <si>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</si>
  <si>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</si>
  <si>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</si>
  <si>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</si>
  <si>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</si>
  <si>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</si>
  <si>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</si>
  <si>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S24_2887</t>
  </si>
  <si>
    <t>S24_2972</t>
  </si>
  <si>
    <t>S24_3191</t>
  </si>
  <si>
    <t>S24_3371</t>
  </si>
  <si>
    <t>S24_3420</t>
  </si>
  <si>
    <t>S24_3432</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</si>
  <si>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</si>
  <si>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</si>
  <si>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</si>
  <si>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</si>
  <si>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</si>
  <si>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</si>
  <si>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</si>
  <si>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</si>
  <si>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</si>
  <si>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</si>
  <si>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</si>
  <si>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</si>
  <si>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</si>
  <si>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</si>
  <si>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</si>
  <si>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</si>
  <si>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</si>
  <si>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</si>
  <si>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</si>
  <si>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S700_1691</t>
  </si>
  <si>
    <t>S700_1938</t>
  </si>
  <si>
    <t>S700_2047</t>
  </si>
  <si>
    <t>S700_2466</t>
  </si>
  <si>
    <t>S700_2824</t>
  </si>
  <si>
    <t>S700_2834</t>
  </si>
  <si>
    <t>S700_3167</t>
  </si>
  <si>
    <t>S700_3505</t>
  </si>
  <si>
    <t>S700_3962</t>
  </si>
  <si>
    <t>S700_4002</t>
  </si>
  <si>
    <t>S72_1253</t>
  </si>
  <si>
    <t>S72_3212</t>
  </si>
  <si>
    <t>2-20-2004</t>
  </si>
  <si>
    <t>12-17-2004</t>
  </si>
  <si>
    <t>10-20-2003</t>
  </si>
  <si>
    <t>7-19-2004</t>
  </si>
  <si>
    <t>11-29-2004</t>
  </si>
  <si>
    <t>4-29-2003</t>
  </si>
  <si>
    <t>11-21-2004</t>
  </si>
  <si>
    <t>1-20-2005</t>
  </si>
  <si>
    <t>11-24-2004</t>
  </si>
  <si>
    <t>5-21-2003</t>
  </si>
  <si>
    <t>7-16-2003</t>
  </si>
  <si>
    <t>5-29-2005</t>
  </si>
  <si>
    <t>4-20-2004</t>
  </si>
  <si>
    <t>Row Labels</t>
  </si>
  <si>
    <t>Grand Total</t>
  </si>
  <si>
    <t>Count of PRODUCTLINE</t>
  </si>
  <si>
    <t>Count of ORDERDATE</t>
  </si>
  <si>
    <t>active customers</t>
  </si>
  <si>
    <t>Sum of SALES</t>
  </si>
  <si>
    <t>Count of SALES</t>
  </si>
  <si>
    <t>Average of SALES</t>
  </si>
  <si>
    <t>Sum of QUANTITYORDERED</t>
  </si>
  <si>
    <t>Sum of MSRP</t>
  </si>
  <si>
    <t>total revenue</t>
  </si>
  <si>
    <t>Total Orders</t>
  </si>
  <si>
    <t>Average Order Value</t>
  </si>
  <si>
    <t>Active Customers</t>
  </si>
  <si>
    <t>Average Sales per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</si>
</sst>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89999084444715716"/>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34" borderId="0" xfId="0" applyFill="1" applyAlignment="1">
      <alignment horizontal="left"/>
    </xf>
    <xf numFmtId="0" fontId="0" fillId="35" borderId="0" xfId="0" applyFill="1"/>
    <xf numFmtId="0" fontId="0" fillId="36" borderId="0" xfId="0" applyFill="1" applyAlignment="1">
      <alignment horizontal="left"/>
    </xf>
    <xf numFmtId="0" fontId="0" fillId="36"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font>
        <b/>
        <color theme="1"/>
      </font>
      <border>
        <bottom style="thin">
          <color theme="8"/>
        </bottom>
        <vertical/>
        <horizontal/>
      </border>
    </dxf>
    <dxf>
      <font>
        <b val="0"/>
        <i/>
        <strike val="0"/>
        <sz val="5"/>
        <color theme="1"/>
        <name val="Bahnschrift Light"/>
        <family val="2"/>
        <scheme val="none"/>
      </font>
      <fill>
        <patternFill patternType="solid">
          <fgColor theme="0"/>
          <bgColor theme="2" tint="-0.89996032593768116"/>
        </patternFill>
      </fill>
      <border diagonalUp="0" diagonalDown="0">
        <left/>
        <right/>
        <top/>
        <bottom/>
        <vertical/>
        <horizontal/>
      </border>
    </dxf>
    <dxf>
      <font>
        <b val="0"/>
        <i/>
        <sz val="8"/>
        <color theme="8" tint="0.79998168889431442"/>
        <name val="Bahnschrift SemiBold"/>
        <family val="2"/>
        <scheme val="none"/>
      </font>
      <fill>
        <patternFill>
          <fgColor theme="8" tint="0.79998168889431442"/>
          <bgColor theme="2" tint="-0.89992980742820516"/>
        </patternFill>
      </fill>
      <border diagonalUp="0" diagonalDown="0">
        <left/>
        <right/>
        <top/>
        <bottom/>
        <vertical/>
        <horizontal/>
      </border>
    </dxf>
  </dxfs>
  <tableStyles count="2" defaultTableStyle="TableStyleMedium2" defaultPivotStyle="PivotStyleLight16">
    <tableStyle name="product" pivot="0" table="0" count="1" xr9:uid="{95F3F1C9-FEE2-4CEB-8C48-174D20EB92FB}">
      <tableStyleElement type="wholeTable" dxfId="3"/>
    </tableStyle>
    <tableStyle name="SlicerStyleLight5 2" pivot="0" table="0" count="10" xr9:uid="{0276122F-100E-49FD-AE16-4C6F8BA816E0}">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roduct"/>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[finalsales.xlsx]salesdata!PivotTable7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00000">
                <a:schemeClr val="accent1">
                  <a:lumMod val="50000"/>
                </a:schemeClr>
              </a:gs>
              <a:gs pos="43000">
                <a:schemeClr val="accent1">
                  <a:lumMod val="45000"/>
                  <a:lumOff val="55000"/>
                </a:schemeClr>
              </a:gs>
              <a:gs pos="100000">
                <a:schemeClr val="accent1">
                  <a:lumMod val="30000"/>
                  <a:lumOff val="70000"/>
                </a:schemeClr>
              </a:gs>
            </a:gsLst>
            <a:lin ang="5400000" scaled="1"/>
          </a:gradFill>
          <a:ln>
            <a:noFill/>
          </a:ln>
          <a:effectLst>
            <a:glow>
              <a:schemeClr val="accent1">
                <a:alpha val="23000"/>
              </a:schemeClr>
            </a:glow>
            <a:softEdge rad="0"/>
          </a:effectLst>
          <a:scene3d>
            <a:camera prst="orthographicFront"/>
            <a:lightRig rig="threePt" dir="t"/>
          </a:scene3d>
          <a:sp3d>
            <a:bevelT w="0"/>
            <a:bevelB w="158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salesdata!$H$2</c:f>
              <c:strCache>
                <c:ptCount val="1"/>
                <c:pt idx="0">
                  <c:v>Total</c:v>
                </c:pt>
              </c:strCache>
            </c:strRef>
          </c:tx>
          <c:spPr>
            <a:gradFill>
              <a:gsLst>
                <a:gs pos="0">
                  <a:schemeClr val="accent1">
                    <a:lumMod val="5000"/>
                    <a:lumOff val="95000"/>
                  </a:schemeClr>
                </a:gs>
                <a:gs pos="100000">
                  <a:schemeClr val="accent1">
                    <a:lumMod val="50000"/>
                  </a:schemeClr>
                </a:gs>
                <a:gs pos="43000">
                  <a:schemeClr val="accent1">
                    <a:lumMod val="45000"/>
                    <a:lumOff val="55000"/>
                  </a:schemeClr>
                </a:gs>
                <a:gs pos="100000">
                  <a:schemeClr val="accent1">
                    <a:lumMod val="30000"/>
                    <a:lumOff val="70000"/>
                  </a:schemeClr>
                </a:gs>
              </a:gsLst>
              <a:lin ang="5400000" scaled="1"/>
            </a:gradFill>
            <a:ln>
              <a:noFill/>
            </a:ln>
            <a:effectLst>
              <a:glow>
                <a:schemeClr val="accent1">
                  <a:alpha val="23000"/>
                </a:schemeClr>
              </a:glow>
              <a:softEdge rad="0"/>
            </a:effectLst>
            <a:scene3d>
              <a:camera prst="orthographicFront"/>
              <a:lightRig rig="threePt" dir="t"/>
            </a:scene3d>
            <a:sp3d>
              <a:bevelT w="0"/>
              <a:bevelB w="158750"/>
            </a:sp3d>
          </c:spPr>
          <c:cat>
            <c:strRef>
              <c:f>salesdata!$G$3:$G$13</c:f>
              <c:strCache>
                <c:ptCount val="10"/>
                <c:pt idx="0">
                  <c:v>2078.28</c:v>
                </c:pt>
                <c:pt idx="1">
                  <c:v>2233.69</c:v>
                </c:pt>
                <c:pt idx="2">
                  <c:v>2617.16</c:v>
                </c:pt>
                <c:pt idx="3">
                  <c:v>3385.9</c:v>
                </c:pt>
                <c:pt idx="4">
                  <c:v>3880.2</c:v>
                </c:pt>
                <c:pt idx="5">
                  <c:v>3933.93</c:v>
                </c:pt>
                <c:pt idx="6">
                  <c:v>4048</c:v>
                </c:pt>
                <c:pt idx="7">
                  <c:v>4302.08</c:v>
                </c:pt>
                <c:pt idx="8">
                  <c:v>4905.39</c:v>
                </c:pt>
                <c:pt idx="9">
                  <c:v>5296.5</c:v>
                </c:pt>
              </c:strCache>
            </c:strRef>
          </c:cat>
          <c:val>
            <c:numRef>
              <c:f>salesdata!$H$3:$H$13</c:f>
              <c:numCache>
                <c:formatCode>General</c:formatCode>
                <c:ptCount val="10"/>
                <c:pt idx="0">
                  <c:v>36</c:v>
                </c:pt>
                <c:pt idx="1">
                  <c:v>37</c:v>
                </c:pt>
                <c:pt idx="2">
                  <c:v>26</c:v>
                </c:pt>
                <c:pt idx="3">
                  <c:v>35</c:v>
                </c:pt>
                <c:pt idx="4">
                  <c:v>60</c:v>
                </c:pt>
                <c:pt idx="5">
                  <c:v>39</c:v>
                </c:pt>
                <c:pt idx="6">
                  <c:v>46</c:v>
                </c:pt>
                <c:pt idx="7">
                  <c:v>32</c:v>
                </c:pt>
                <c:pt idx="8">
                  <c:v>21</c:v>
                </c:pt>
                <c:pt idx="9">
                  <c:v>55</c:v>
                </c:pt>
              </c:numCache>
            </c:numRef>
          </c:val>
          <c:extLst>
            <c:ext xmlns:c16="http://schemas.microsoft.com/office/drawing/2014/chart" uri="{C3380CC4-5D6E-409C-BE32-E72D297353CC}">
              <c16:uniqueId val="{00000000-14AB-43E8-B84F-E086CF6C69EA}"/>
            </c:ext>
          </c:extLst>
        </c:ser>
        <c:dLbls>
          <c:showLegendKey val="0"/>
          <c:showVal val="0"/>
          <c:showCatName val="0"/>
          <c:showSerName val="0"/>
          <c:showPercent val="0"/>
          <c:showBubbleSize val="0"/>
        </c:dLbls>
        <c:axId val="298122768"/>
        <c:axId val="298113168"/>
      </c:areaChart>
      <c:catAx>
        <c:axId val="298122768"/>
        <c:scaling>
          <c:orientation val="minMax"/>
        </c:scaling>
        <c:delete val="1"/>
        <c:axPos val="b"/>
        <c:numFmt formatCode="General" sourceLinked="1"/>
        <c:majorTickMark val="out"/>
        <c:minorTickMark val="none"/>
        <c:tickLblPos val="nextTo"/>
        <c:crossAx val="298113168"/>
        <c:crosses val="autoZero"/>
        <c:auto val="1"/>
        <c:lblAlgn val="ctr"/>
        <c:lblOffset val="100"/>
        <c:noMultiLvlLbl val="0"/>
      </c:catAx>
      <c:valAx>
        <c:axId val="298113168"/>
        <c:scaling>
          <c:orientation val="minMax"/>
        </c:scaling>
        <c:delete val="1"/>
        <c:axPos val="l"/>
        <c:numFmt formatCode="General" sourceLinked="1"/>
        <c:majorTickMark val="none"/>
        <c:minorTickMark val="none"/>
        <c:tickLblPos val="nextTo"/>
        <c:crossAx val="298122768"/>
        <c:crosses val="autoZero"/>
        <c:crossBetween val="midCat"/>
      </c:valAx>
      <c:spPr>
        <a:solidFill>
          <a:schemeClr val="bg2">
            <a:lumMod val="1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[finalsales.xlsx]salesdata!PivotTable8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04164943102095E-2"/>
          <c:y val="0.24780238720438583"/>
          <c:w val="0.94849629482472875"/>
          <c:h val="0.75219491069436606"/>
        </c:manualLayout>
      </c:layout>
      <c:areaChart>
        <c:grouping val="standard"/>
        <c:varyColors val="0"/>
        <c:ser>
          <c:idx val="0"/>
          <c:order val="0"/>
          <c:tx>
            <c:strRef>
              <c:f>salesdata!$B$15</c:f>
              <c:strCache>
                <c:ptCount val="1"/>
                <c:pt idx="0">
                  <c:v>Total</c:v>
                </c:pt>
              </c:strCache>
            </c:strRef>
          </c:tx>
          <c:spPr>
            <a:solidFill>
              <a:schemeClr val="accent1"/>
            </a:solidFill>
            <a:ln>
              <a:noFill/>
            </a:ln>
            <a:effectLst/>
          </c:spPr>
          <c:cat>
            <c:strRef>
              <c:f>salesdata!$A$16:$A$17</c:f>
              <c:strCache>
                <c:ptCount val="1"/>
                <c:pt idx="0">
                  <c:v>Classic Cars</c:v>
                </c:pt>
              </c:strCache>
            </c:strRef>
          </c:cat>
          <c:val>
            <c:numRef>
              <c:f>salesdata!$B$16:$B$17</c:f>
              <c:numCache>
                <c:formatCode>General</c:formatCode>
                <c:ptCount val="1"/>
                <c:pt idx="0">
                  <c:v>3668.1129999999998</c:v>
                </c:pt>
              </c:numCache>
            </c:numRef>
          </c:val>
          <c:extLst>
            <c:ext xmlns:c16="http://schemas.microsoft.com/office/drawing/2014/chart" uri="{C3380CC4-5D6E-409C-BE32-E72D297353CC}">
              <c16:uniqueId val="{00000000-B78C-44E5-A7AF-033FF650C51F}"/>
            </c:ext>
          </c:extLst>
        </c:ser>
        <c:dLbls>
          <c:showLegendKey val="0"/>
          <c:showVal val="0"/>
          <c:showCatName val="0"/>
          <c:showSerName val="0"/>
          <c:showPercent val="0"/>
          <c:showBubbleSize val="0"/>
        </c:dLbls>
        <c:axId val="1379287408"/>
        <c:axId val="1379274928"/>
      </c:areaChart>
      <c:catAx>
        <c:axId val="1379287408"/>
        <c:scaling>
          <c:orientation val="minMax"/>
        </c:scaling>
        <c:delete val="1"/>
        <c:axPos val="b"/>
        <c:numFmt formatCode="General" sourceLinked="1"/>
        <c:majorTickMark val="out"/>
        <c:minorTickMark val="none"/>
        <c:tickLblPos val="nextTo"/>
        <c:crossAx val="1379274928"/>
        <c:crosses val="autoZero"/>
        <c:auto val="1"/>
        <c:lblAlgn val="ctr"/>
        <c:lblOffset val="100"/>
        <c:noMultiLvlLbl val="0"/>
      </c:catAx>
      <c:valAx>
        <c:axId val="1379274928"/>
        <c:scaling>
          <c:orientation val="minMax"/>
        </c:scaling>
        <c:delete val="1"/>
        <c:axPos val="l"/>
        <c:numFmt formatCode="General" sourceLinked="1"/>
        <c:majorTickMark val="none"/>
        <c:minorTickMark val="none"/>
        <c:tickLblPos val="nextTo"/>
        <c:crossAx val="1379287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[finalsales.xlsx]salesdata!PivotTable9</c:name>
    <c:fmtId val="24"/>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619282579518E-3"/>
          <c:y val="8.0903899834369963E-2"/>
          <c:w val="0.99256380717420478"/>
          <c:h val="0.86336901948776001"/>
        </c:manualLayout>
      </c:layout>
      <c:lineChart>
        <c:grouping val="stacked"/>
        <c:varyColors val="0"/>
        <c:ser>
          <c:idx val="0"/>
          <c:order val="0"/>
          <c:tx>
            <c:strRef>
              <c:f>salesdata!$B$19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salesdata!$A$20:$A$30</c:f>
              <c:strCache>
                <c:ptCount val="10"/>
                <c:pt idx="0">
                  <c:v>2078.28</c:v>
                </c:pt>
                <c:pt idx="1">
                  <c:v>2233.69</c:v>
                </c:pt>
                <c:pt idx="2">
                  <c:v>2617.16</c:v>
                </c:pt>
                <c:pt idx="3">
                  <c:v>3385.9</c:v>
                </c:pt>
                <c:pt idx="4">
                  <c:v>3880.2</c:v>
                </c:pt>
                <c:pt idx="5">
                  <c:v>3933.93</c:v>
                </c:pt>
                <c:pt idx="6">
                  <c:v>4048</c:v>
                </c:pt>
                <c:pt idx="7">
                  <c:v>4302.08</c:v>
                </c:pt>
                <c:pt idx="8">
                  <c:v>4905.39</c:v>
                </c:pt>
                <c:pt idx="9">
                  <c:v>5296.5</c:v>
                </c:pt>
              </c:strCache>
            </c:strRef>
          </c:cat>
          <c:val>
            <c:numRef>
              <c:f>salesdata!$B$20:$B$30</c:f>
              <c:numCache>
                <c:formatCode>General</c:formatCode>
                <c:ptCount val="10"/>
                <c:pt idx="0">
                  <c:v>36</c:v>
                </c:pt>
                <c:pt idx="1">
                  <c:v>37</c:v>
                </c:pt>
                <c:pt idx="2">
                  <c:v>26</c:v>
                </c:pt>
                <c:pt idx="3">
                  <c:v>35</c:v>
                </c:pt>
                <c:pt idx="4">
                  <c:v>60</c:v>
                </c:pt>
                <c:pt idx="5">
                  <c:v>39</c:v>
                </c:pt>
                <c:pt idx="6">
                  <c:v>46</c:v>
                </c:pt>
                <c:pt idx="7">
                  <c:v>32</c:v>
                </c:pt>
                <c:pt idx="8">
                  <c:v>21</c:v>
                </c:pt>
                <c:pt idx="9">
                  <c:v>55</c:v>
                </c:pt>
              </c:numCache>
            </c:numRef>
          </c:val>
          <c:smooth val="0"/>
          <c:extLst>
            <c:ext xmlns:c16="http://schemas.microsoft.com/office/drawing/2014/chart" uri="{C3380CC4-5D6E-409C-BE32-E72D297353CC}">
              <c16:uniqueId val="{00000000-1565-4B29-A57F-22662364C931}"/>
            </c:ext>
          </c:extLst>
        </c:ser>
        <c:dLbls>
          <c:showLegendKey val="0"/>
          <c:showVal val="0"/>
          <c:showCatName val="0"/>
          <c:showSerName val="0"/>
          <c:showPercent val="0"/>
          <c:showBubbleSize val="0"/>
        </c:dLbls>
        <c:marker val="1"/>
        <c:smooth val="0"/>
        <c:axId val="1602837023"/>
        <c:axId val="1602820703"/>
      </c:lineChart>
      <c:catAx>
        <c:axId val="1602837023"/>
        <c:scaling>
          <c:orientation val="minMax"/>
        </c:scaling>
        <c:delete val="1"/>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1602820703"/>
        <c:crosses val="autoZero"/>
        <c:auto val="1"/>
        <c:lblAlgn val="ctr"/>
        <c:lblOffset val="100"/>
        <c:noMultiLvlLbl val="0"/>
      </c:catAx>
      <c:valAx>
        <c:axId val="1602820703"/>
        <c:scaling>
          <c:orientation val="minMax"/>
        </c:scaling>
        <c:delete val="1"/>
        <c:axPos val="l"/>
        <c:numFmt formatCode="General" sourceLinked="1"/>
        <c:majorTickMark val="none"/>
        <c:minorTickMark val="none"/>
        <c:tickLblPos val="nextTo"/>
        <c:crossAx val="16028370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[finalsales.xlsx]salesdata!PivotTable10</c:name>
    <c:fmtId val="7"/>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F94C2597-E56B-40AB-AF43-BB4A27CA7548}" type="CATEGORYNAME">
                  <a:rPr lang="en-US" sz="500"/>
                  <a:pPr>
                    <a:defRPr sz="1000" b="1" i="0" u="none" strike="noStrike" kern="1200" spc="0" baseline="0">
                      <a:solidFill>
                        <a:schemeClr val="accent1"/>
                      </a:solidFill>
                      <a:latin typeface="+mn-lt"/>
                      <a:ea typeface="+mn-ea"/>
                      <a:cs typeface="+mn-cs"/>
                    </a:defRPr>
                  </a:pPr>
                  <a:t>[CATEGORY NAME]</a:t>
                </a:fld>
                <a:r>
                  <a:rPr lang="en-US" baseline="0"/>
                  <a:t>
</a:t>
                </a:r>
                <a:fld id="{959126D8-9244-4B1B-A6EC-C14D40EC104A}" type="PERCENTAGE">
                  <a:rPr lang="en-US" sz="500" baseline="0"/>
                  <a:pPr>
                    <a:defRPr sz="1000" b="1" i="0" u="none" strike="noStrike" kern="1200" spc="0" baseline="0">
                      <a:solidFill>
                        <a:schemeClr val="accen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7"/>
        <c:spPr>
          <a:solidFill>
            <a:schemeClr val="accent1">
              <a:lumMod val="20000"/>
              <a:lumOff val="80000"/>
            </a:schemeClr>
          </a:solidFill>
          <a:ln>
            <a:solidFill>
              <a:schemeClr val="accent1">
                <a:lumMod val="20000"/>
                <a:lumOff val="80000"/>
              </a:schemeClr>
            </a:solidFill>
          </a:ln>
          <a:effectLst>
            <a:outerShdw blurRad="63500" sx="102000" sy="102000" algn="ctr" rotWithShape="0">
              <a:prstClr val="black">
                <a:alpha val="20000"/>
              </a:prstClr>
            </a:outerShdw>
          </a:effectLst>
        </c:spPr>
        <c:dLbl>
          <c:idx val="0"/>
          <c:layout>
            <c:manualLayout>
              <c:x val="0.23013206587320664"/>
              <c:y val="0"/>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20000"/>
                        <a:lumOff val="80000"/>
                      </a:schemeClr>
                    </a:solidFill>
                    <a:latin typeface="+mn-lt"/>
                    <a:ea typeface="+mn-ea"/>
                    <a:cs typeface="+mn-cs"/>
                  </a:defRPr>
                </a:pPr>
                <a:fld id="{9B113560-B65D-439E-A5E9-1A13E1048363}" type="CATEGORYNAME">
                  <a:rPr lang="en-US" sz="600">
                    <a:solidFill>
                      <a:schemeClr val="accent1">
                        <a:lumMod val="20000"/>
                        <a:lumOff val="80000"/>
                      </a:schemeClr>
                    </a:solidFill>
                  </a:rPr>
                  <a:pPr>
                    <a:defRPr>
                      <a:solidFill>
                        <a:schemeClr val="accent1">
                          <a:lumMod val="20000"/>
                          <a:lumOff val="80000"/>
                        </a:schemeClr>
                      </a:solidFill>
                    </a:defRPr>
                  </a:pPr>
                  <a:t>[CATEGORY NAME]</a:t>
                </a:fld>
                <a:r>
                  <a:rPr lang="en-US" baseline="0">
                    <a:solidFill>
                      <a:schemeClr val="accent1">
                        <a:lumMod val="20000"/>
                        <a:lumOff val="80000"/>
                      </a:schemeClr>
                    </a:solidFill>
                  </a:rPr>
                  <a:t>
</a:t>
                </a:r>
                <a:fld id="{3691E01D-7AE8-41CE-B964-C97C527F9396}" type="PERCENTAGE">
                  <a:rPr lang="en-US" sz="500" baseline="0">
                    <a:solidFill>
                      <a:schemeClr val="accent1">
                        <a:lumMod val="20000"/>
                        <a:lumOff val="80000"/>
                      </a:schemeClr>
                    </a:solidFill>
                  </a:rPr>
                  <a:pPr>
                    <a:defRPr>
                      <a:solidFill>
                        <a:schemeClr val="accent1">
                          <a:lumMod val="20000"/>
                          <a:lumOff val="80000"/>
                        </a:schemeClr>
                      </a:solidFill>
                    </a:defRPr>
                  </a:pPr>
                  <a:t>[PERCENTAGE]</a:t>
                </a:fld>
                <a:endParaRPr lang="en-US" baseline="0">
                  <a:solidFill>
                    <a:schemeClr val="accent1">
                      <a:lumMod val="20000"/>
                      <a:lumOff val="8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20000"/>
                      <a:lumOff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8"/>
        <c:spPr>
          <a:solidFill>
            <a:schemeClr val="tx2">
              <a:lumMod val="75000"/>
              <a:lumOff val="25000"/>
            </a:schemeClr>
          </a:solidFill>
          <a:ln>
            <a:noFill/>
          </a:ln>
          <a:effectLst>
            <a:outerShdw blurRad="63500" sx="102000" sy="102000" algn="ctr" rotWithShape="0">
              <a:prstClr val="black">
                <a:alpha val="20000"/>
              </a:prstClr>
            </a:outerShdw>
          </a:effectLst>
        </c:spPr>
        <c:dLbl>
          <c:idx val="0"/>
          <c:layout>
            <c:manualLayout>
              <c:x val="0.1126301965926685"/>
              <c:y val="5.2912465293000144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lumOff val="50000"/>
                      </a:schemeClr>
                    </a:solidFill>
                    <a:latin typeface="+mn-lt"/>
                    <a:ea typeface="+mn-ea"/>
                    <a:cs typeface="+mn-cs"/>
                  </a:defRPr>
                </a:pPr>
                <a:fld id="{D5CD654D-6CF7-4F3B-BDD3-E28D8F253F8E}" type="CATEGORYNAME">
                  <a:rPr lang="en-US" sz="600">
                    <a:solidFill>
                      <a:schemeClr val="tx2">
                        <a:lumMod val="50000"/>
                        <a:lumOff val="50000"/>
                      </a:schemeClr>
                    </a:solidFill>
                  </a:rPr>
                  <a:pPr>
                    <a:defRPr>
                      <a:solidFill>
                        <a:schemeClr val="tx2">
                          <a:lumMod val="50000"/>
                          <a:lumOff val="50000"/>
                        </a:schemeClr>
                      </a:solidFill>
                    </a:defRPr>
                  </a:pPr>
                  <a:t>[CATEGORY NAME]</a:t>
                </a:fld>
                <a:r>
                  <a:rPr lang="en-US" sz="500" baseline="0">
                    <a:solidFill>
                      <a:schemeClr val="tx2">
                        <a:lumMod val="50000"/>
                        <a:lumOff val="50000"/>
                      </a:schemeClr>
                    </a:solidFill>
                  </a:rPr>
                  <a:t>
</a:t>
                </a:r>
                <a:fld id="{404A96D0-4E84-4FDA-BD72-0B5197FC1691}" type="PERCENTAGE">
                  <a:rPr lang="en-US" sz="600" baseline="0">
                    <a:solidFill>
                      <a:schemeClr val="tx2">
                        <a:lumMod val="50000"/>
                        <a:lumOff val="50000"/>
                      </a:schemeClr>
                    </a:solidFill>
                  </a:rPr>
                  <a:pPr>
                    <a:defRPr>
                      <a:solidFill>
                        <a:schemeClr val="tx2">
                          <a:lumMod val="50000"/>
                          <a:lumOff val="50000"/>
                        </a:schemeClr>
                      </a:solidFill>
                    </a:defRPr>
                  </a:pPr>
                  <a:t>[PERCENTAGE]</a:t>
                </a:fld>
                <a:endParaRPr lang="en-US" sz="500" baseline="0">
                  <a:solidFill>
                    <a:schemeClr val="tx2">
                      <a:lumMod val="50000"/>
                      <a:lumOff val="5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lumOff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489384614195579"/>
                  <c:h val="0.1871818959938206"/>
                </c:manualLayout>
              </c15:layout>
              <c15:dlblFieldTable/>
              <c15:showDataLabelsRange val="0"/>
            </c:ext>
          </c:extLst>
        </c:dLbl>
      </c:pivotFmt>
      <c:pivotFmt>
        <c:idx val="29"/>
        <c:spPr>
          <a:solidFill>
            <a:schemeClr val="accent1"/>
          </a:solidFill>
          <a:ln>
            <a:noFill/>
          </a:ln>
          <a:effectLst>
            <a:outerShdw blurRad="63500" sx="102000" sy="102000" algn="ctr" rotWithShape="0">
              <a:prstClr val="black">
                <a:alpha val="20000"/>
              </a:prstClr>
            </a:outerShdw>
          </a:effectLst>
        </c:spPr>
        <c:dLbl>
          <c:idx val="0"/>
          <c:layout>
            <c:manualLayout>
              <c:x val="6.5543059080358623E-2"/>
              <c:y val="2.0983203523856415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fld id="{55133FBA-FCF6-46ED-894A-3F40E56DD6D8}" type="CATEGORYNAME">
                  <a:rPr lang="en-US" sz="600">
                    <a:solidFill>
                      <a:schemeClr val="accent4">
                        <a:lumMod val="75000"/>
                      </a:schemeClr>
                    </a:solidFill>
                  </a:rPr>
                  <a:pPr>
                    <a:defRPr>
                      <a:solidFill>
                        <a:schemeClr val="accent4">
                          <a:lumMod val="75000"/>
                        </a:schemeClr>
                      </a:solidFill>
                    </a:defRPr>
                  </a:pPr>
                  <a:t>[CATEGORY NAME]</a:t>
                </a:fld>
                <a:r>
                  <a:rPr lang="en-US" baseline="0">
                    <a:solidFill>
                      <a:schemeClr val="accent4">
                        <a:lumMod val="75000"/>
                      </a:schemeClr>
                    </a:solidFill>
                  </a:rPr>
                  <a:t>
</a:t>
                </a:r>
                <a:fld id="{8353A614-18C6-46D4-A471-6BF8E13D532C}" type="PERCENTAGE">
                  <a:rPr lang="en-US" sz="600" baseline="0">
                    <a:solidFill>
                      <a:schemeClr val="accent4">
                        <a:lumMod val="75000"/>
                      </a:schemeClr>
                    </a:solidFill>
                  </a:rPr>
                  <a:pPr>
                    <a:defRPr>
                      <a:solidFill>
                        <a:schemeClr val="accent4">
                          <a:lumMod val="75000"/>
                        </a:schemeClr>
                      </a:solidFill>
                    </a:defRPr>
                  </a:pPr>
                  <a:t>[PERCENTAGE]</a:t>
                </a:fld>
                <a:endParaRPr lang="en-US" baseline="0">
                  <a:solidFill>
                    <a:schemeClr val="accent4">
                      <a:lumMod val="7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0"/>
        <c:spPr>
          <a:solidFill>
            <a:schemeClr val="accent1"/>
          </a:solidFill>
          <a:ln>
            <a:noFill/>
          </a:ln>
          <a:effectLst>
            <a:outerShdw blurRad="63500" sx="102000" sy="102000" algn="ctr" rotWithShape="0">
              <a:prstClr val="black">
                <a:alpha val="20000"/>
              </a:prstClr>
            </a:outerShdw>
          </a:effectLst>
        </c:spPr>
        <c:dLbl>
          <c:idx val="0"/>
          <c:layout>
            <c:manualLayout>
              <c:x val="-7.3735941465403465E-2"/>
              <c:y val="0"/>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75000"/>
                      </a:schemeClr>
                    </a:solidFill>
                    <a:latin typeface="+mn-lt"/>
                    <a:ea typeface="+mn-ea"/>
                    <a:cs typeface="+mn-cs"/>
                  </a:defRPr>
                </a:pPr>
                <a:fld id="{149592D6-4C7C-4AB9-B377-D47A0634B8BE}" type="CATEGORYNAME">
                  <a:rPr lang="en-US" sz="600">
                    <a:solidFill>
                      <a:schemeClr val="accent5">
                        <a:lumMod val="75000"/>
                      </a:schemeClr>
                    </a:solidFill>
                  </a:rPr>
                  <a:pPr>
                    <a:defRPr sz="1000" b="1" i="0" u="none" strike="noStrike" kern="1200" spc="0" baseline="0">
                      <a:solidFill>
                        <a:schemeClr val="accent5">
                          <a:lumMod val="75000"/>
                        </a:schemeClr>
                      </a:solidFill>
                      <a:latin typeface="+mn-lt"/>
                      <a:ea typeface="+mn-ea"/>
                      <a:cs typeface="+mn-cs"/>
                    </a:defRPr>
                  </a:pPr>
                  <a:t>[CATEGORY NAME]</a:t>
                </a:fld>
                <a:r>
                  <a:rPr lang="en-US" baseline="0">
                    <a:solidFill>
                      <a:schemeClr val="accent5">
                        <a:lumMod val="75000"/>
                      </a:schemeClr>
                    </a:solidFill>
                  </a:rPr>
                  <a:t>
</a:t>
                </a:r>
                <a:fld id="{48C28B14-9953-467A-A18C-899F9B870B76}" type="PERCENTAGE">
                  <a:rPr lang="en-US" sz="700" baseline="0">
                    <a:solidFill>
                      <a:schemeClr val="accent5">
                        <a:lumMod val="75000"/>
                      </a:schemeClr>
                    </a:solidFill>
                  </a:rPr>
                  <a:pPr>
                    <a:defRPr sz="1000" b="1" i="0" u="none" strike="noStrike" kern="1200" spc="0" baseline="0">
                      <a:solidFill>
                        <a:schemeClr val="accent5">
                          <a:lumMod val="75000"/>
                        </a:schemeClr>
                      </a:solidFill>
                      <a:latin typeface="+mn-lt"/>
                      <a:ea typeface="+mn-ea"/>
                      <a:cs typeface="+mn-cs"/>
                    </a:defRPr>
                  </a:pPr>
                  <a:t>[PERCENTAGE]</a:t>
                </a:fld>
                <a:endParaRPr lang="en-US" baseline="0">
                  <a:solidFill>
                    <a:schemeClr val="accent5">
                      <a:lumMod val="7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1"/>
        <c:spPr>
          <a:solidFill>
            <a:schemeClr val="accent1"/>
          </a:solidFill>
          <a:ln>
            <a:noFill/>
          </a:ln>
          <a:effectLst>
            <a:outerShdw blurRad="63500" sx="102000" sy="102000" algn="ctr" rotWithShape="0">
              <a:prstClr val="black">
                <a:alpha val="20000"/>
              </a:prstClr>
            </a:outerShdw>
          </a:effectLst>
        </c:spPr>
        <c:dLbl>
          <c:idx val="0"/>
          <c:layout>
            <c:manualLayout>
              <c:x val="-0.18843693996488031"/>
              <c:y val="-7.8687013214462538E-3"/>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6">
                        <a:lumMod val="75000"/>
                      </a:schemeClr>
                    </a:solidFill>
                    <a:latin typeface="+mn-lt"/>
                    <a:ea typeface="+mn-ea"/>
                    <a:cs typeface="+mn-cs"/>
                  </a:defRPr>
                </a:pPr>
                <a:fld id="{5E6B4D59-FF93-41F2-B89E-85962F909866}" type="CATEGORYNAME">
                  <a:rPr lang="en-US" sz="600">
                    <a:solidFill>
                      <a:schemeClr val="accent6">
                        <a:lumMod val="75000"/>
                      </a:schemeClr>
                    </a:solidFill>
                  </a:rPr>
                  <a:pPr>
                    <a:defRPr>
                      <a:solidFill>
                        <a:schemeClr val="accent6">
                          <a:lumMod val="75000"/>
                        </a:schemeClr>
                      </a:solidFill>
                    </a:defRPr>
                  </a:pPr>
                  <a:t>[CATEGORY NAME]</a:t>
                </a:fld>
                <a:r>
                  <a:rPr lang="en-US" baseline="0">
                    <a:solidFill>
                      <a:schemeClr val="accent6">
                        <a:lumMod val="75000"/>
                      </a:schemeClr>
                    </a:solidFill>
                  </a:rPr>
                  <a:t>
</a:t>
                </a:r>
                <a:fld id="{A14EC7A1-B74E-4124-AC3A-CC6BF1EDDBD5}" type="PERCENTAGE">
                  <a:rPr lang="en-US" sz="600" baseline="0">
                    <a:solidFill>
                      <a:schemeClr val="accent6">
                        <a:lumMod val="75000"/>
                      </a:schemeClr>
                    </a:solidFill>
                  </a:rPr>
                  <a:pPr>
                    <a:defRPr>
                      <a:solidFill>
                        <a:schemeClr val="accent6">
                          <a:lumMod val="75000"/>
                        </a:schemeClr>
                      </a:solidFill>
                    </a:defRPr>
                  </a:pPr>
                  <a:t>[PERCENTAGE]</a:t>
                </a:fld>
                <a:endParaRPr lang="en-US" baseline="0">
                  <a:solidFill>
                    <a:schemeClr val="accent6">
                      <a:lumMod val="7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3004439639100306"/>
                  <c:h val="0.24844112972245996"/>
                </c:manualLayout>
              </c15:layout>
              <c15:dlblFieldTable/>
              <c15:showDataLabelsRange val="0"/>
            </c:ext>
          </c:extLst>
        </c:dLbl>
      </c:pivotFmt>
      <c:pivotFmt>
        <c:idx val="32"/>
        <c:spPr>
          <a:solidFill>
            <a:schemeClr val="accent1">
              <a:lumMod val="60000"/>
              <a:lumOff val="40000"/>
            </a:schemeClr>
          </a:solidFill>
          <a:ln>
            <a:noFill/>
          </a:ln>
          <a:effectLst>
            <a:outerShdw blurRad="63500" sx="102000" sy="102000" algn="ctr" rotWithShape="0">
              <a:prstClr val="black">
                <a:alpha val="20000"/>
              </a:prstClr>
            </a:outerShdw>
          </a:effectLst>
        </c:spPr>
        <c:dLbl>
          <c:idx val="0"/>
          <c:layout>
            <c:manualLayout>
              <c:x val="6.4405932559259902E-7"/>
              <c:y val="0.10491639005448739"/>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40000"/>
                        <a:lumOff val="60000"/>
                      </a:schemeClr>
                    </a:solidFill>
                    <a:latin typeface="+mn-lt"/>
                    <a:ea typeface="+mn-ea"/>
                    <a:cs typeface="+mn-cs"/>
                  </a:defRPr>
                </a:pPr>
                <a:fld id="{F2BA161B-D352-48A4-B323-B4FDB212CF2B}" type="CATEGORYNAME">
                  <a:rPr lang="en-US" sz="500">
                    <a:solidFill>
                      <a:schemeClr val="accent1">
                        <a:lumMod val="40000"/>
                        <a:lumOff val="60000"/>
                      </a:schemeClr>
                    </a:solidFill>
                  </a:rPr>
                  <a:pPr>
                    <a:defRPr>
                      <a:solidFill>
                        <a:schemeClr val="accent1">
                          <a:lumMod val="40000"/>
                          <a:lumOff val="60000"/>
                        </a:schemeClr>
                      </a:solidFill>
                    </a:defRPr>
                  </a:pPr>
                  <a:t>[CATEGORY NAME]</a:t>
                </a:fld>
                <a:r>
                  <a:rPr lang="en-US" baseline="0">
                    <a:solidFill>
                      <a:schemeClr val="accent1">
                        <a:lumMod val="40000"/>
                        <a:lumOff val="60000"/>
                      </a:schemeClr>
                    </a:solidFill>
                  </a:rPr>
                  <a:t>
</a:t>
                </a:r>
                <a:fld id="{CE36AF9A-6766-42B3-8D5B-6F5C3202C84F}" type="PERCENTAGE">
                  <a:rPr lang="en-US" sz="500" baseline="0">
                    <a:solidFill>
                      <a:schemeClr val="accent1">
                        <a:lumMod val="40000"/>
                        <a:lumOff val="60000"/>
                      </a:schemeClr>
                    </a:solidFill>
                  </a:rPr>
                  <a:pPr>
                    <a:defRPr>
                      <a:solidFill>
                        <a:schemeClr val="accent1">
                          <a:lumMod val="40000"/>
                          <a:lumOff val="60000"/>
                        </a:schemeClr>
                      </a:solidFill>
                    </a:defRPr>
                  </a:pPr>
                  <a:t>[PERCENTAGE]</a:t>
                </a:fld>
                <a:endParaRPr lang="en-US" baseline="0">
                  <a:solidFill>
                    <a:schemeClr val="accent1">
                      <a:lumMod val="40000"/>
                      <a:lumOff val="60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40000"/>
                      <a:lumOff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402849832852293"/>
                  <c:h val="0.27713607359652104"/>
                </c:manualLayout>
              </c15:layout>
              <c15:dlblFieldTable/>
              <c15:showDataLabelsRange val="0"/>
            </c:ext>
          </c:extLst>
        </c:dLbl>
      </c:pivotFmt>
    </c:pivotFmts>
    <c:plotArea>
      <c:layout/>
      <c:pieChart>
        <c:varyColors val="1"/>
        <c:ser>
          <c:idx val="0"/>
          <c:order val="0"/>
          <c:tx>
            <c:strRef>
              <c:f>salesdata!$E$18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AB8-424D-A35A-0F9CCFB5A861}"/>
              </c:ext>
            </c:extLst>
          </c:dPt>
          <c:dPt>
            <c:idx val="1"/>
            <c:bubble3D val="0"/>
            <c:spPr>
              <a:solidFill>
                <a:schemeClr val="accent1">
                  <a:lumMod val="20000"/>
                  <a:lumOff val="80000"/>
                </a:schemeClr>
              </a:solidFill>
              <a:ln>
                <a:solidFill>
                  <a:schemeClr val="accent1">
                    <a:lumMod val="20000"/>
                    <a:lumOff val="80000"/>
                  </a:schemeClr>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AB8-424D-A35A-0F9CCFB5A861}"/>
              </c:ext>
            </c:extLst>
          </c:dPt>
          <c:dPt>
            <c:idx val="2"/>
            <c:bubble3D val="0"/>
            <c:spPr>
              <a:solidFill>
                <a:schemeClr val="tx2">
                  <a:lumMod val="75000"/>
                  <a:lumOff val="2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AB8-424D-A35A-0F9CCFB5A86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AB8-424D-A35A-0F9CCFB5A86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AB8-424D-A35A-0F9CCFB5A861}"/>
              </c:ext>
            </c:extLst>
          </c:dPt>
          <c:dPt>
            <c:idx val="5"/>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6AB8-424D-A35A-0F9CCFB5A861}"/>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6AB8-424D-A35A-0F9CCFB5A861}"/>
              </c:ext>
            </c:extLst>
          </c:dPt>
          <c:dLbls>
            <c:dLbl>
              <c:idx val="0"/>
              <c:tx>
                <c:rich>
                  <a:bodyPr/>
                  <a:lstStyle/>
                  <a:p>
                    <a:fld id="{F94C2597-E56B-40AB-AF43-BB4A27CA7548}" type="CATEGORYNAME">
                      <a:rPr lang="en-US" sz="500"/>
                      <a:pPr/>
                      <a:t>[CATEGORY NAME]</a:t>
                    </a:fld>
                    <a:r>
                      <a:rPr lang="en-US" baseline="0"/>
                      <a:t>
</a:t>
                    </a:r>
                    <a:fld id="{959126D8-9244-4B1B-A6EC-C14D40EC104A}" type="PERCENTAGE">
                      <a:rPr lang="en-US" sz="500"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AB8-424D-A35A-0F9CCFB5A861}"/>
                </c:ext>
              </c:extLst>
            </c:dLbl>
            <c:dLbl>
              <c:idx val="1"/>
              <c:layout>
                <c:manualLayout>
                  <c:x val="0.23013206587320664"/>
                  <c:y val="0"/>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20000"/>
                            <a:lumOff val="80000"/>
                          </a:schemeClr>
                        </a:solidFill>
                        <a:latin typeface="+mn-lt"/>
                        <a:ea typeface="+mn-ea"/>
                        <a:cs typeface="+mn-cs"/>
                      </a:defRPr>
                    </a:pPr>
                    <a:fld id="{9B113560-B65D-439E-A5E9-1A13E1048363}" type="CATEGORYNAME">
                      <a:rPr lang="en-US" sz="600">
                        <a:solidFill>
                          <a:schemeClr val="accent1">
                            <a:lumMod val="20000"/>
                            <a:lumOff val="80000"/>
                          </a:schemeClr>
                        </a:solidFill>
                      </a:rPr>
                      <a:pPr>
                        <a:defRPr>
                          <a:solidFill>
                            <a:schemeClr val="accent1">
                              <a:lumMod val="20000"/>
                              <a:lumOff val="80000"/>
                            </a:schemeClr>
                          </a:solidFill>
                        </a:defRPr>
                      </a:pPr>
                      <a:t>[CATEGORY NAME]</a:t>
                    </a:fld>
                    <a:r>
                      <a:rPr lang="en-US" baseline="0">
                        <a:solidFill>
                          <a:schemeClr val="accent1">
                            <a:lumMod val="20000"/>
                            <a:lumOff val="80000"/>
                          </a:schemeClr>
                        </a:solidFill>
                      </a:rPr>
                      <a:t>
</a:t>
                    </a:r>
                    <a:fld id="{3691E01D-7AE8-41CE-B964-C97C527F9396}" type="PERCENTAGE">
                      <a:rPr lang="en-US" sz="500" baseline="0">
                        <a:solidFill>
                          <a:schemeClr val="accent1">
                            <a:lumMod val="20000"/>
                            <a:lumOff val="80000"/>
                          </a:schemeClr>
                        </a:solidFill>
                      </a:rPr>
                      <a:pPr>
                        <a:defRPr>
                          <a:solidFill>
                            <a:schemeClr val="accent1">
                              <a:lumMod val="20000"/>
                              <a:lumOff val="80000"/>
                            </a:schemeClr>
                          </a:solidFill>
                        </a:defRPr>
                      </a:pPr>
                      <a:t>[PERCENTAGE]</a:t>
                    </a:fld>
                    <a:endParaRPr lang="en-US" baseline="0">
                      <a:solidFill>
                        <a:schemeClr val="accent1">
                          <a:lumMod val="20000"/>
                          <a:lumOff val="8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20000"/>
                          <a:lumOff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AB8-424D-A35A-0F9CCFB5A861}"/>
                </c:ext>
              </c:extLst>
            </c:dLbl>
            <c:dLbl>
              <c:idx val="2"/>
              <c:layout>
                <c:manualLayout>
                  <c:x val="0.1126301965926685"/>
                  <c:y val="5.2912465293000144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lumOff val="50000"/>
                          </a:schemeClr>
                        </a:solidFill>
                        <a:latin typeface="+mn-lt"/>
                        <a:ea typeface="+mn-ea"/>
                        <a:cs typeface="+mn-cs"/>
                      </a:defRPr>
                    </a:pPr>
                    <a:fld id="{D5CD654D-6CF7-4F3B-BDD3-E28D8F253F8E}" type="CATEGORYNAME">
                      <a:rPr lang="en-US" sz="600">
                        <a:solidFill>
                          <a:schemeClr val="tx2">
                            <a:lumMod val="50000"/>
                            <a:lumOff val="50000"/>
                          </a:schemeClr>
                        </a:solidFill>
                      </a:rPr>
                      <a:pPr>
                        <a:defRPr>
                          <a:solidFill>
                            <a:schemeClr val="tx2">
                              <a:lumMod val="50000"/>
                              <a:lumOff val="50000"/>
                            </a:schemeClr>
                          </a:solidFill>
                        </a:defRPr>
                      </a:pPr>
                      <a:t>[CATEGORY NAME]</a:t>
                    </a:fld>
                    <a:r>
                      <a:rPr lang="en-US" sz="500" baseline="0">
                        <a:solidFill>
                          <a:schemeClr val="tx2">
                            <a:lumMod val="50000"/>
                            <a:lumOff val="50000"/>
                          </a:schemeClr>
                        </a:solidFill>
                      </a:rPr>
                      <a:t>
</a:t>
                    </a:r>
                    <a:fld id="{404A96D0-4E84-4FDA-BD72-0B5197FC1691}" type="PERCENTAGE">
                      <a:rPr lang="en-US" sz="600" baseline="0">
                        <a:solidFill>
                          <a:schemeClr val="tx2">
                            <a:lumMod val="50000"/>
                            <a:lumOff val="50000"/>
                          </a:schemeClr>
                        </a:solidFill>
                      </a:rPr>
                      <a:pPr>
                        <a:defRPr>
                          <a:solidFill>
                            <a:schemeClr val="tx2">
                              <a:lumMod val="50000"/>
                              <a:lumOff val="50000"/>
                            </a:schemeClr>
                          </a:solidFill>
                        </a:defRPr>
                      </a:pPr>
                      <a:t>[PERCENTAGE]</a:t>
                    </a:fld>
                    <a:endParaRPr lang="en-US" sz="500" baseline="0">
                      <a:solidFill>
                        <a:schemeClr val="tx2">
                          <a:lumMod val="50000"/>
                          <a:lumOff val="5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lumOff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489384614195579"/>
                      <c:h val="0.1871818959938206"/>
                    </c:manualLayout>
                  </c15:layout>
                  <c15:dlblFieldTable/>
                  <c15:showDataLabelsRange val="0"/>
                </c:ext>
                <c:ext xmlns:c16="http://schemas.microsoft.com/office/drawing/2014/chart" uri="{C3380CC4-5D6E-409C-BE32-E72D297353CC}">
                  <c16:uniqueId val="{00000005-6AB8-424D-A35A-0F9CCFB5A861}"/>
                </c:ext>
              </c:extLst>
            </c:dLbl>
            <c:dLbl>
              <c:idx val="3"/>
              <c:layout>
                <c:manualLayout>
                  <c:x val="6.5543059080358623E-2"/>
                  <c:y val="2.0983203523856415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fld id="{55133FBA-FCF6-46ED-894A-3F40E56DD6D8}" type="CATEGORYNAME">
                      <a:rPr lang="en-US" sz="600">
                        <a:solidFill>
                          <a:schemeClr val="accent4">
                            <a:lumMod val="75000"/>
                          </a:schemeClr>
                        </a:solidFill>
                      </a:rPr>
                      <a:pPr>
                        <a:defRPr>
                          <a:solidFill>
                            <a:schemeClr val="accent4">
                              <a:lumMod val="75000"/>
                            </a:schemeClr>
                          </a:solidFill>
                        </a:defRPr>
                      </a:pPr>
                      <a:t>[CATEGORY NAME]</a:t>
                    </a:fld>
                    <a:r>
                      <a:rPr lang="en-US" baseline="0">
                        <a:solidFill>
                          <a:schemeClr val="accent4">
                            <a:lumMod val="75000"/>
                          </a:schemeClr>
                        </a:solidFill>
                      </a:rPr>
                      <a:t>
</a:t>
                    </a:r>
                    <a:fld id="{8353A614-18C6-46D4-A471-6BF8E13D532C}" type="PERCENTAGE">
                      <a:rPr lang="en-US" sz="600" baseline="0">
                        <a:solidFill>
                          <a:schemeClr val="accent4">
                            <a:lumMod val="75000"/>
                          </a:schemeClr>
                        </a:solidFill>
                      </a:rPr>
                      <a:pPr>
                        <a:defRPr>
                          <a:solidFill>
                            <a:schemeClr val="accent4">
                              <a:lumMod val="75000"/>
                            </a:schemeClr>
                          </a:solidFill>
                        </a:defRPr>
                      </a:pPr>
                      <a:t>[PERCENTAGE]</a:t>
                    </a:fld>
                    <a:endParaRPr lang="en-US" baseline="0">
                      <a:solidFill>
                        <a:schemeClr val="accent4">
                          <a:lumMod val="7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AB8-424D-A35A-0F9CCFB5A861}"/>
                </c:ext>
              </c:extLst>
            </c:dLbl>
            <c:dLbl>
              <c:idx val="4"/>
              <c:layout>
                <c:manualLayout>
                  <c:x val="-0.18843693996488031"/>
                  <c:y val="-7.8687013214462538E-3"/>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6">
                            <a:lumMod val="75000"/>
                          </a:schemeClr>
                        </a:solidFill>
                        <a:latin typeface="+mn-lt"/>
                        <a:ea typeface="+mn-ea"/>
                        <a:cs typeface="+mn-cs"/>
                      </a:defRPr>
                    </a:pPr>
                    <a:fld id="{5E6B4D59-FF93-41F2-B89E-85962F909866}" type="CATEGORYNAME">
                      <a:rPr lang="en-US" sz="600">
                        <a:solidFill>
                          <a:schemeClr val="accent6">
                            <a:lumMod val="75000"/>
                          </a:schemeClr>
                        </a:solidFill>
                      </a:rPr>
                      <a:pPr>
                        <a:defRPr>
                          <a:solidFill>
                            <a:schemeClr val="accent6">
                              <a:lumMod val="75000"/>
                            </a:schemeClr>
                          </a:solidFill>
                        </a:defRPr>
                      </a:pPr>
                      <a:t>[CATEGORY NAME]</a:t>
                    </a:fld>
                    <a:r>
                      <a:rPr lang="en-US" baseline="0">
                        <a:solidFill>
                          <a:schemeClr val="accent6">
                            <a:lumMod val="75000"/>
                          </a:schemeClr>
                        </a:solidFill>
                      </a:rPr>
                      <a:t>
</a:t>
                    </a:r>
                    <a:fld id="{A14EC7A1-B74E-4124-AC3A-CC6BF1EDDBD5}" type="PERCENTAGE">
                      <a:rPr lang="en-US" sz="600" baseline="0">
                        <a:solidFill>
                          <a:schemeClr val="accent6">
                            <a:lumMod val="75000"/>
                          </a:schemeClr>
                        </a:solidFill>
                      </a:rPr>
                      <a:pPr>
                        <a:defRPr>
                          <a:solidFill>
                            <a:schemeClr val="accent6">
                              <a:lumMod val="75000"/>
                            </a:schemeClr>
                          </a:solidFill>
                        </a:defRPr>
                      </a:pPr>
                      <a:t>[PERCENTAGE]</a:t>
                    </a:fld>
                    <a:endParaRPr lang="en-US" baseline="0">
                      <a:solidFill>
                        <a:schemeClr val="accent6">
                          <a:lumMod val="7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3004439639100306"/>
                      <c:h val="0.24844112972245996"/>
                    </c:manualLayout>
                  </c15:layout>
                  <c15:dlblFieldTable/>
                  <c15:showDataLabelsRange val="0"/>
                </c:ext>
                <c:ext xmlns:c16="http://schemas.microsoft.com/office/drawing/2014/chart" uri="{C3380CC4-5D6E-409C-BE32-E72D297353CC}">
                  <c16:uniqueId val="{00000009-6AB8-424D-A35A-0F9CCFB5A861}"/>
                </c:ext>
              </c:extLst>
            </c:dLbl>
            <c:dLbl>
              <c:idx val="5"/>
              <c:layout>
                <c:manualLayout>
                  <c:x val="6.4405932559259902E-7"/>
                  <c:y val="0.10491639005448739"/>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40000"/>
                            <a:lumOff val="60000"/>
                          </a:schemeClr>
                        </a:solidFill>
                        <a:latin typeface="+mn-lt"/>
                        <a:ea typeface="+mn-ea"/>
                        <a:cs typeface="+mn-cs"/>
                      </a:defRPr>
                    </a:pPr>
                    <a:fld id="{F2BA161B-D352-48A4-B323-B4FDB212CF2B}" type="CATEGORYNAME">
                      <a:rPr lang="en-US" sz="500">
                        <a:solidFill>
                          <a:schemeClr val="accent1">
                            <a:lumMod val="40000"/>
                            <a:lumOff val="60000"/>
                          </a:schemeClr>
                        </a:solidFill>
                      </a:rPr>
                      <a:pPr>
                        <a:defRPr>
                          <a:solidFill>
                            <a:schemeClr val="accent1">
                              <a:lumMod val="40000"/>
                              <a:lumOff val="60000"/>
                            </a:schemeClr>
                          </a:solidFill>
                        </a:defRPr>
                      </a:pPr>
                      <a:t>[CATEGORY NAME]</a:t>
                    </a:fld>
                    <a:r>
                      <a:rPr lang="en-US" baseline="0">
                        <a:solidFill>
                          <a:schemeClr val="accent1">
                            <a:lumMod val="40000"/>
                            <a:lumOff val="60000"/>
                          </a:schemeClr>
                        </a:solidFill>
                      </a:rPr>
                      <a:t>
</a:t>
                    </a:r>
                    <a:fld id="{CE36AF9A-6766-42B3-8D5B-6F5C3202C84F}" type="PERCENTAGE">
                      <a:rPr lang="en-US" sz="500" baseline="0">
                        <a:solidFill>
                          <a:schemeClr val="accent1">
                            <a:lumMod val="40000"/>
                            <a:lumOff val="60000"/>
                          </a:schemeClr>
                        </a:solidFill>
                      </a:rPr>
                      <a:pPr>
                        <a:defRPr>
                          <a:solidFill>
                            <a:schemeClr val="accent1">
                              <a:lumMod val="40000"/>
                              <a:lumOff val="60000"/>
                            </a:schemeClr>
                          </a:solidFill>
                        </a:defRPr>
                      </a:pPr>
                      <a:t>[PERCENTAGE]</a:t>
                    </a:fld>
                    <a:endParaRPr lang="en-US" baseline="0">
                      <a:solidFill>
                        <a:schemeClr val="accent1">
                          <a:lumMod val="40000"/>
                          <a:lumOff val="60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40000"/>
                          <a:lumOff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402849832852293"/>
                      <c:h val="0.27713607359652104"/>
                    </c:manualLayout>
                  </c15:layout>
                  <c15:dlblFieldTable/>
                  <c15:showDataLabelsRange val="0"/>
                </c:ext>
                <c:ext xmlns:c16="http://schemas.microsoft.com/office/drawing/2014/chart" uri="{C3380CC4-5D6E-409C-BE32-E72D297353CC}">
                  <c16:uniqueId val="{0000000B-6AB8-424D-A35A-0F9CCFB5A8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salesdata!$D$19:$D$25</c:f>
              <c:strCache>
                <c:ptCount val="6"/>
                <c:pt idx="0">
                  <c:v>Classic Cars</c:v>
                </c:pt>
                <c:pt idx="1">
                  <c:v>Motorcycles</c:v>
                </c:pt>
                <c:pt idx="2">
                  <c:v>Planes</c:v>
                </c:pt>
                <c:pt idx="3">
                  <c:v>Ships</c:v>
                </c:pt>
                <c:pt idx="4">
                  <c:v>Trucks and Buses</c:v>
                </c:pt>
                <c:pt idx="5">
                  <c:v>Vintage Cars</c:v>
                </c:pt>
              </c:strCache>
            </c:strRef>
          </c:cat>
          <c:val>
            <c:numRef>
              <c:f>salesdata!$E$19:$E$25</c:f>
              <c:numCache>
                <c:formatCode>General</c:formatCode>
                <c:ptCount val="6"/>
                <c:pt idx="0">
                  <c:v>36681.129999999997</c:v>
                </c:pt>
                <c:pt idx="1">
                  <c:v>2780.9</c:v>
                </c:pt>
                <c:pt idx="2">
                  <c:v>23893.329999999998</c:v>
                </c:pt>
                <c:pt idx="3">
                  <c:v>1089.3599999999999</c:v>
                </c:pt>
                <c:pt idx="4">
                  <c:v>17715.309999999998</c:v>
                </c:pt>
                <c:pt idx="5">
                  <c:v>69410.95</c:v>
                </c:pt>
              </c:numCache>
            </c:numRef>
          </c:val>
          <c:extLst>
            <c:ext xmlns:c16="http://schemas.microsoft.com/office/drawing/2014/chart" uri="{C3380CC4-5D6E-409C-BE32-E72D297353CC}">
              <c16:uniqueId val="{0000000E-6AB8-424D-A35A-0F9CCFB5A861}"/>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[finalsales.xlsx]salesdata!PivotTable6</c:name>
    <c:fmtId val="14"/>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2394417144905577E-2"/>
              <c:y val="1.822915919079757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D36409D-DE28-4ECE-B35E-088366EA42EE}" type="VALUE">
                  <a:rPr lang="en-US" sz="6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63896535145273814"/>
                  <c:h val="0.35173665037046825"/>
                </c:manualLayout>
              </c15:layout>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F9C20874-C8F4-4CFC-89FC-CE989FAB9048}" type="VALUE">
                  <a:rPr lang="en-US" sz="7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7259734623624661"/>
                  <c:h val="0.31527777777777777"/>
                </c:manualLayout>
              </c15:layout>
              <c15:dlblFieldTable/>
              <c15:showDataLabelsRange val="0"/>
            </c:ext>
          </c:extLst>
        </c:dLbl>
      </c:pivotFmt>
    </c:pivotFmts>
    <c:plotArea>
      <c:layout>
        <c:manualLayout>
          <c:layoutTarget val="inner"/>
          <c:xMode val="edge"/>
          <c:yMode val="edge"/>
          <c:x val="0.27879885476171301"/>
          <c:y val="0.1388888888888889"/>
          <c:w val="0.72120114523828693"/>
          <c:h val="0.72222222222222221"/>
        </c:manualLayout>
      </c:layout>
      <c:barChart>
        <c:barDir val="bar"/>
        <c:grouping val="stacked"/>
        <c:varyColors val="0"/>
        <c:ser>
          <c:idx val="0"/>
          <c:order val="0"/>
          <c:tx>
            <c:strRef>
              <c:f>salesdata!$H$16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BB90-43B8-AD96-748E46A892A7}"/>
              </c:ext>
            </c:extLst>
          </c:dPt>
          <c:dPt>
            <c:idx val="1"/>
            <c:invertIfNegative val="0"/>
            <c:bubble3D val="0"/>
            <c:extLst>
              <c:ext xmlns:c16="http://schemas.microsoft.com/office/drawing/2014/chart" uri="{C3380CC4-5D6E-409C-BE32-E72D297353CC}">
                <c16:uniqueId val="{00000001-BB90-43B8-AD96-748E46A892A7}"/>
              </c:ext>
            </c:extLst>
          </c:dPt>
          <c:dLbls>
            <c:dLbl>
              <c:idx val="0"/>
              <c:tx>
                <c:rich>
                  <a:bodyPr/>
                  <a:lstStyle/>
                  <a:p>
                    <a:fld id="{F9C20874-C8F4-4CFC-89FC-CE989FAB9048}" type="VALUE">
                      <a:rPr lang="en-US" sz="700"/>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layout>
                    <c:manualLayout>
                      <c:w val="0.47259734623624661"/>
                      <c:h val="0.31527777777777777"/>
                    </c:manualLayout>
                  </c15:layout>
                  <c15:dlblFieldTable/>
                  <c15:showDataLabelsRange val="0"/>
                </c:ext>
                <c:ext xmlns:c16="http://schemas.microsoft.com/office/drawing/2014/chart" uri="{C3380CC4-5D6E-409C-BE32-E72D297353CC}">
                  <c16:uniqueId val="{00000002-BB90-43B8-AD96-748E46A892A7}"/>
                </c:ext>
              </c:extLst>
            </c:dLbl>
            <c:dLbl>
              <c:idx val="1"/>
              <c:layout>
                <c:manualLayout>
                  <c:x val="1.2394417144905577E-2"/>
                  <c:y val="1.822915919079757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D36409D-DE28-4ECE-B35E-088366EA42EE}" type="VALUE">
                      <a:rPr lang="en-US" sz="6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63896535145273814"/>
                      <c:h val="0.35173665037046825"/>
                    </c:manualLayout>
                  </c15:layout>
                  <c15:dlblFieldTable/>
                  <c15:showDataLabelsRange val="0"/>
                </c:ext>
                <c:ext xmlns:c16="http://schemas.microsoft.com/office/drawing/2014/chart" uri="{C3380CC4-5D6E-409C-BE32-E72D297353CC}">
                  <c16:uniqueId val="{00000001-BB90-43B8-AD96-748E46A892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salesdata!$G$17:$G$19</c:f>
              <c:strCache>
                <c:ptCount val="2"/>
                <c:pt idx="0">
                  <c:v>Australia</c:v>
                </c:pt>
                <c:pt idx="1">
                  <c:v>USA</c:v>
                </c:pt>
              </c:strCache>
            </c:strRef>
          </c:cat>
          <c:val>
            <c:numRef>
              <c:f>salesdata!$H$17:$H$19</c:f>
              <c:numCache>
                <c:formatCode>General</c:formatCode>
                <c:ptCount val="2"/>
                <c:pt idx="0">
                  <c:v>506562.51999999984</c:v>
                </c:pt>
                <c:pt idx="1">
                  <c:v>396718.32999999961</c:v>
                </c:pt>
              </c:numCache>
            </c:numRef>
          </c:val>
          <c:extLst>
            <c:ext xmlns:c16="http://schemas.microsoft.com/office/drawing/2014/chart" uri="{C3380CC4-5D6E-409C-BE32-E72D297353CC}">
              <c16:uniqueId val="{00000000-BB90-43B8-AD96-748E46A892A7}"/>
            </c:ext>
          </c:extLst>
        </c:ser>
        <c:dLbls>
          <c:dLblPos val="ctr"/>
          <c:showLegendKey val="0"/>
          <c:showVal val="1"/>
          <c:showCatName val="0"/>
          <c:showSerName val="0"/>
          <c:showPercent val="0"/>
          <c:showBubbleSize val="0"/>
        </c:dLbls>
        <c:gapWidth val="79"/>
        <c:overlap val="100"/>
        <c:axId val="1753534160"/>
        <c:axId val="1753545680"/>
      </c:barChart>
      <c:catAx>
        <c:axId val="175353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cap="all" spc="120" normalizeH="0" baseline="0">
                <a:solidFill>
                  <a:schemeClr val="bg1"/>
                </a:solidFill>
                <a:latin typeface="+mn-lt"/>
                <a:ea typeface="+mn-ea"/>
                <a:cs typeface="+mn-cs"/>
              </a:defRPr>
            </a:pPr>
            <a:endParaRPr lang="en-US"/>
          </a:p>
        </c:txPr>
        <c:crossAx val="1753545680"/>
        <c:crosses val="autoZero"/>
        <c:auto val="1"/>
        <c:lblAlgn val="ctr"/>
        <c:lblOffset val="100"/>
        <c:noMultiLvlLbl val="0"/>
      </c:catAx>
      <c:valAx>
        <c:axId val="1753545680"/>
        <c:scaling>
          <c:orientation val="minMax"/>
        </c:scaling>
        <c:delete val="1"/>
        <c:axPos val="b"/>
        <c:numFmt formatCode="General" sourceLinked="1"/>
        <c:majorTickMark val="none"/>
        <c:minorTickMark val="none"/>
        <c:tickLblPos val="nextTo"/>
        <c:crossAx val="175353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[finalsales.xlsx]salesdata!PivotTable11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85312">
                <a:srgbClr val="99D4EF"/>
              </a:gs>
              <a:gs pos="28000">
                <a:schemeClr val="accent1">
                  <a:lumMod val="45000"/>
                  <a:lumOff val="55000"/>
                </a:schemeClr>
              </a:gs>
              <a:gs pos="9086">
                <a:srgbClr val="A0D6F0"/>
              </a:gs>
              <a:gs pos="14000">
                <a:schemeClr val="accent1">
                  <a:lumMod val="45000"/>
                  <a:lumOff val="55000"/>
                </a:schemeClr>
              </a:gs>
              <a:gs pos="66000">
                <a:schemeClr val="accent1">
                  <a:lumMod val="30000"/>
                  <a:lumOff val="70000"/>
                </a:schemeClr>
              </a:gs>
            </a:gsLst>
            <a:lin ang="189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45598298657047E-4"/>
          <c:y val="8.3276334643055065E-3"/>
          <c:w val="0.95805915540713693"/>
          <c:h val="0.97745847416586384"/>
        </c:manualLayout>
      </c:layout>
      <c:barChart>
        <c:barDir val="col"/>
        <c:grouping val="clustered"/>
        <c:varyColors val="0"/>
        <c:ser>
          <c:idx val="0"/>
          <c:order val="0"/>
          <c:tx>
            <c:strRef>
              <c:f>salesdata!$B$33</c:f>
              <c:strCache>
                <c:ptCount val="1"/>
                <c:pt idx="0">
                  <c:v>Total</c:v>
                </c:pt>
              </c:strCache>
            </c:strRef>
          </c:tx>
          <c:spPr>
            <a:gradFill flip="none" rotWithShape="1">
              <a:gsLst>
                <a:gs pos="0">
                  <a:schemeClr val="accent1">
                    <a:lumMod val="5000"/>
                    <a:lumOff val="95000"/>
                  </a:schemeClr>
                </a:gs>
                <a:gs pos="85312">
                  <a:srgbClr val="99D4EF"/>
                </a:gs>
                <a:gs pos="28000">
                  <a:schemeClr val="accent1">
                    <a:lumMod val="45000"/>
                    <a:lumOff val="55000"/>
                  </a:schemeClr>
                </a:gs>
                <a:gs pos="9086">
                  <a:srgbClr val="A0D6F0"/>
                </a:gs>
                <a:gs pos="14000">
                  <a:schemeClr val="accent1">
                    <a:lumMod val="45000"/>
                    <a:lumOff val="55000"/>
                  </a:schemeClr>
                </a:gs>
                <a:gs pos="66000">
                  <a:schemeClr val="accent1">
                    <a:lumMod val="30000"/>
                    <a:lumOff val="70000"/>
                  </a:schemeClr>
                </a:gs>
              </a:gsLst>
              <a:lin ang="18900000" scaled="1"/>
              <a:tileRect/>
            </a:gradFill>
            <a:ln>
              <a:noFill/>
            </a:ln>
            <a:effectLst/>
          </c:spPr>
          <c:invertIfNegative val="0"/>
          <c:cat>
            <c:strRef>
              <c:f>salesdata!$A$34:$A$40</c:f>
              <c:strCache>
                <c:ptCount val="6"/>
                <c:pt idx="0">
                  <c:v>Classic Cars</c:v>
                </c:pt>
                <c:pt idx="1">
                  <c:v>Motorcycles</c:v>
                </c:pt>
                <c:pt idx="2">
                  <c:v>Planes</c:v>
                </c:pt>
                <c:pt idx="3">
                  <c:v>Ships</c:v>
                </c:pt>
                <c:pt idx="4">
                  <c:v>Trucks and Buses</c:v>
                </c:pt>
                <c:pt idx="5">
                  <c:v>Vintage Cars</c:v>
                </c:pt>
              </c:strCache>
            </c:strRef>
          </c:cat>
          <c:val>
            <c:numRef>
              <c:f>salesdata!$B$34:$B$40</c:f>
              <c:numCache>
                <c:formatCode>General</c:formatCode>
                <c:ptCount val="6"/>
                <c:pt idx="0">
                  <c:v>1055</c:v>
                </c:pt>
                <c:pt idx="1">
                  <c:v>213</c:v>
                </c:pt>
                <c:pt idx="2">
                  <c:v>651</c:v>
                </c:pt>
                <c:pt idx="3">
                  <c:v>90</c:v>
                </c:pt>
                <c:pt idx="4">
                  <c:v>533</c:v>
                </c:pt>
                <c:pt idx="5">
                  <c:v>1740</c:v>
                </c:pt>
              </c:numCache>
            </c:numRef>
          </c:val>
          <c:extLst>
            <c:ext xmlns:c16="http://schemas.microsoft.com/office/drawing/2014/chart" uri="{C3380CC4-5D6E-409C-BE32-E72D297353CC}">
              <c16:uniqueId val="{00000000-1C08-467D-A9A6-B4C7A6B7A2E7}"/>
            </c:ext>
          </c:extLst>
        </c:ser>
        <c:dLbls>
          <c:showLegendKey val="0"/>
          <c:showVal val="0"/>
          <c:showCatName val="0"/>
          <c:showSerName val="0"/>
          <c:showPercent val="0"/>
          <c:showBubbleSize val="0"/>
        </c:dLbls>
        <c:gapWidth val="219"/>
        <c:overlap val="-27"/>
        <c:axId val="1822939344"/>
        <c:axId val="1822939824"/>
      </c:barChart>
      <c:catAx>
        <c:axId val="1822939344"/>
        <c:scaling>
          <c:orientation val="minMax"/>
        </c:scaling>
        <c:delete val="1"/>
        <c:axPos val="b"/>
        <c:numFmt formatCode="General" sourceLinked="1"/>
        <c:majorTickMark val="none"/>
        <c:minorTickMark val="none"/>
        <c:tickLblPos val="nextTo"/>
        <c:crossAx val="1822939824"/>
        <c:crosses val="autoZero"/>
        <c:auto val="1"/>
        <c:lblAlgn val="ctr"/>
        <c:lblOffset val="100"/>
        <c:noMultiLvlLbl val="0"/>
      </c:catAx>
      <c:valAx>
        <c:axId val="1822939824"/>
        <c:scaling>
          <c:orientation val="minMax"/>
        </c:scaling>
        <c:delete val="1"/>
        <c:axPos val="l"/>
        <c:numFmt formatCode="General" sourceLinked="1"/>
        <c:majorTickMark val="none"/>
        <c:minorTickMark val="none"/>
        <c:tickLblPos val="nextTo"/>
        <c:crossAx val="182293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278675</xdr:colOff>
      <xdr:row>1</xdr:row>
      <xdr:rowOff>106945</xdr:rowOff>
    </xdr:from>
    <xdr:to>
      <xdr:col>8</xdr:col>
      <xdr:colOff>431075</xdr:colOff>
      <xdr:row>13</xdr:row>
      <xdr:rowOff>169815</xdr:rowOff>
    </xdr:to>
    <xdr:sp macro="" textlink="">
      <xdr:nvSpPr>
        <xdr:cNvPr id="3" name="Rectangle 2">
          <a:extLst>
            <a:ext uri="{FF2B5EF4-FFF2-40B4-BE49-F238E27FC236}">
              <a16:creationId xmlns:a16="http://schemas.microsoft.com/office/drawing/2014/main" id="{946B8AE3-B9A3-EB34-FB96-AF3554D9FE72}"/>
            </a:ext>
          </a:extLst>
        </xdr:cNvPr>
        <xdr:cNvSpPr/>
      </xdr:nvSpPr>
      <xdr:spPr>
        <a:xfrm>
          <a:off x="278675" y="289825"/>
          <a:ext cx="5029200" cy="225743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313508</xdr:colOff>
      <xdr:row>1</xdr:row>
      <xdr:rowOff>144966</xdr:rowOff>
    </xdr:from>
    <xdr:to>
      <xdr:col>1</xdr:col>
      <xdr:colOff>513806</xdr:colOff>
      <xdr:row>5</xdr:row>
      <xdr:rowOff>165461</xdr:rowOff>
    </xdr:to>
    <xdr:sp macro="" textlink="">
      <xdr:nvSpPr>
        <xdr:cNvPr id="4" name="Rectangle: Rounded Corners 3">
          <a:extLst>
            <a:ext uri="{FF2B5EF4-FFF2-40B4-BE49-F238E27FC236}">
              <a16:creationId xmlns:a16="http://schemas.microsoft.com/office/drawing/2014/main" id="{D7C4EBB8-BD8D-4BC2-10DE-C6F5B3D3152E}"/>
            </a:ext>
          </a:extLst>
        </xdr:cNvPr>
        <xdr:cNvSpPr/>
      </xdr:nvSpPr>
      <xdr:spPr>
        <a:xfrm>
          <a:off x="313508" y="327846"/>
          <a:ext cx="809898" cy="752015"/>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304799</xdr:colOff>
      <xdr:row>6</xdr:row>
      <xdr:rowOff>3923</xdr:rowOff>
    </xdr:from>
    <xdr:to>
      <xdr:col>1</xdr:col>
      <xdr:colOff>509451</xdr:colOff>
      <xdr:row>13</xdr:row>
      <xdr:rowOff>138481</xdr:rowOff>
    </xdr:to>
    <xdr:sp macro="" textlink="">
      <xdr:nvSpPr>
        <xdr:cNvPr id="5" name="Rectangle: Rounded Corners 4">
          <a:extLst>
            <a:ext uri="{FF2B5EF4-FFF2-40B4-BE49-F238E27FC236}">
              <a16:creationId xmlns:a16="http://schemas.microsoft.com/office/drawing/2014/main" id="{0A7D7857-3AD3-7E47-AC73-0A83BD8CC58C}"/>
            </a:ext>
          </a:extLst>
        </xdr:cNvPr>
        <xdr:cNvSpPr/>
      </xdr:nvSpPr>
      <xdr:spPr>
        <a:xfrm>
          <a:off x="304799" y="1101203"/>
          <a:ext cx="814252" cy="1414718"/>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536003</xdr:colOff>
      <xdr:row>1</xdr:row>
      <xdr:rowOff>148046</xdr:rowOff>
    </xdr:from>
    <xdr:to>
      <xdr:col>3</xdr:col>
      <xdr:colOff>91867</xdr:colOff>
      <xdr:row>4</xdr:row>
      <xdr:rowOff>30478</xdr:rowOff>
    </xdr:to>
    <xdr:sp macro="" textlink="">
      <xdr:nvSpPr>
        <xdr:cNvPr id="6" name="Rectangle: Rounded Corners 5">
          <a:extLst>
            <a:ext uri="{FF2B5EF4-FFF2-40B4-BE49-F238E27FC236}">
              <a16:creationId xmlns:a16="http://schemas.microsoft.com/office/drawing/2014/main" id="{583662DF-DBF1-D31E-BD57-E2BB1631F353}"/>
            </a:ext>
          </a:extLst>
        </xdr:cNvPr>
        <xdr:cNvSpPr/>
      </xdr:nvSpPr>
      <xdr:spPr>
        <a:xfrm>
          <a:off x="1145603" y="330926"/>
          <a:ext cx="775064" cy="431072"/>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535361</xdr:colOff>
      <xdr:row>4</xdr:row>
      <xdr:rowOff>48534</xdr:rowOff>
    </xdr:from>
    <xdr:to>
      <xdr:col>3</xdr:col>
      <xdr:colOff>99934</xdr:colOff>
      <xdr:row>6</xdr:row>
      <xdr:rowOff>113848</xdr:rowOff>
    </xdr:to>
    <xdr:sp macro="" textlink="">
      <xdr:nvSpPr>
        <xdr:cNvPr id="7" name="Rectangle: Rounded Corners 6">
          <a:extLst>
            <a:ext uri="{FF2B5EF4-FFF2-40B4-BE49-F238E27FC236}">
              <a16:creationId xmlns:a16="http://schemas.microsoft.com/office/drawing/2014/main" id="{5CA85532-EFD6-5A66-DB58-9B8209F3C761}"/>
            </a:ext>
          </a:extLst>
        </xdr:cNvPr>
        <xdr:cNvSpPr/>
      </xdr:nvSpPr>
      <xdr:spPr>
        <a:xfrm>
          <a:off x="1144961" y="780054"/>
          <a:ext cx="783773" cy="431074"/>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121071</xdr:colOff>
      <xdr:row>1</xdr:row>
      <xdr:rowOff>148046</xdr:rowOff>
    </xdr:from>
    <xdr:to>
      <xdr:col>4</xdr:col>
      <xdr:colOff>286535</xdr:colOff>
      <xdr:row>4</xdr:row>
      <xdr:rowOff>30478</xdr:rowOff>
    </xdr:to>
    <xdr:sp macro="" textlink="">
      <xdr:nvSpPr>
        <xdr:cNvPr id="8" name="Rectangle: Rounded Corners 7">
          <a:extLst>
            <a:ext uri="{FF2B5EF4-FFF2-40B4-BE49-F238E27FC236}">
              <a16:creationId xmlns:a16="http://schemas.microsoft.com/office/drawing/2014/main" id="{A6F46DC7-F236-31B3-2DA8-4228202171F9}"/>
            </a:ext>
          </a:extLst>
        </xdr:cNvPr>
        <xdr:cNvSpPr/>
      </xdr:nvSpPr>
      <xdr:spPr>
        <a:xfrm>
          <a:off x="1949871" y="330926"/>
          <a:ext cx="775064" cy="431072"/>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319455</xdr:colOff>
      <xdr:row>1</xdr:row>
      <xdr:rowOff>144327</xdr:rowOff>
    </xdr:from>
    <xdr:to>
      <xdr:col>8</xdr:col>
      <xdr:colOff>409303</xdr:colOff>
      <xdr:row>6</xdr:row>
      <xdr:rowOff>126908</xdr:rowOff>
    </xdr:to>
    <xdr:sp macro="" textlink="">
      <xdr:nvSpPr>
        <xdr:cNvPr id="9" name="Rectangle: Rounded Corners 8">
          <a:extLst>
            <a:ext uri="{FF2B5EF4-FFF2-40B4-BE49-F238E27FC236}">
              <a16:creationId xmlns:a16="http://schemas.microsoft.com/office/drawing/2014/main" id="{97EC9720-5D2C-AF00-BF6D-52599C91C24E}"/>
            </a:ext>
          </a:extLst>
        </xdr:cNvPr>
        <xdr:cNvSpPr/>
      </xdr:nvSpPr>
      <xdr:spPr>
        <a:xfrm>
          <a:off x="2757855" y="327207"/>
          <a:ext cx="2528248" cy="896981"/>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133701</xdr:colOff>
      <xdr:row>4</xdr:row>
      <xdr:rowOff>52251</xdr:rowOff>
    </xdr:from>
    <xdr:to>
      <xdr:col>4</xdr:col>
      <xdr:colOff>299165</xdr:colOff>
      <xdr:row>6</xdr:row>
      <xdr:rowOff>117563</xdr:rowOff>
    </xdr:to>
    <xdr:sp macro="" textlink="">
      <xdr:nvSpPr>
        <xdr:cNvPr id="10" name="Rectangle: Rounded Corners 9">
          <a:extLst>
            <a:ext uri="{FF2B5EF4-FFF2-40B4-BE49-F238E27FC236}">
              <a16:creationId xmlns:a16="http://schemas.microsoft.com/office/drawing/2014/main" id="{58FEDE76-1612-1285-894E-0322FB2471C2}"/>
            </a:ext>
          </a:extLst>
        </xdr:cNvPr>
        <xdr:cNvSpPr/>
      </xdr:nvSpPr>
      <xdr:spPr>
        <a:xfrm>
          <a:off x="1965027" y="776361"/>
          <a:ext cx="775906" cy="427368"/>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483964</xdr:colOff>
      <xdr:row>1</xdr:row>
      <xdr:rowOff>110876</xdr:rowOff>
    </xdr:from>
    <xdr:to>
      <xdr:col>2</xdr:col>
      <xdr:colOff>449766</xdr:colOff>
      <xdr:row>2</xdr:row>
      <xdr:rowOff>115016</xdr:rowOff>
    </xdr:to>
    <xdr:sp macro="" textlink="">
      <xdr:nvSpPr>
        <xdr:cNvPr id="11" name="Rectangle: Rounded Corners 10">
          <a:extLst>
            <a:ext uri="{FF2B5EF4-FFF2-40B4-BE49-F238E27FC236}">
              <a16:creationId xmlns:a16="http://schemas.microsoft.com/office/drawing/2014/main" id="{3B85DC99-E8D3-88F5-E1FB-4BF5172FA805}"/>
            </a:ext>
          </a:extLst>
        </xdr:cNvPr>
        <xdr:cNvSpPr/>
      </xdr:nvSpPr>
      <xdr:spPr>
        <a:xfrm>
          <a:off x="1093564" y="293756"/>
          <a:ext cx="575402" cy="187020"/>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gency FB" panose="020B0503020202020204" pitchFamily="34" charset="0"/>
            </a:rPr>
            <a:t>total sales</a:t>
          </a:r>
        </a:p>
      </xdr:txBody>
    </xdr:sp>
    <xdr:clientData/>
  </xdr:twoCellAnchor>
  <xdr:twoCellAnchor>
    <xdr:from>
      <xdr:col>1</xdr:col>
      <xdr:colOff>472813</xdr:colOff>
      <xdr:row>4</xdr:row>
      <xdr:rowOff>9770</xdr:rowOff>
    </xdr:from>
    <xdr:to>
      <xdr:col>3</xdr:col>
      <xdr:colOff>48323</xdr:colOff>
      <xdr:row>5</xdr:row>
      <xdr:rowOff>32496</xdr:rowOff>
    </xdr:to>
    <xdr:sp macro="" textlink="">
      <xdr:nvSpPr>
        <xdr:cNvPr id="12" name="Rectangle: Rounded Corners 11">
          <a:extLst>
            <a:ext uri="{FF2B5EF4-FFF2-40B4-BE49-F238E27FC236}">
              <a16:creationId xmlns:a16="http://schemas.microsoft.com/office/drawing/2014/main" id="{3DEECF3B-5542-F816-04C1-05E7A5C90E0C}"/>
            </a:ext>
          </a:extLst>
        </xdr:cNvPr>
        <xdr:cNvSpPr/>
      </xdr:nvSpPr>
      <xdr:spPr>
        <a:xfrm>
          <a:off x="1082413" y="741290"/>
          <a:ext cx="794710" cy="205606"/>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gency FB" panose="020B0503020202020204" pitchFamily="34" charset="0"/>
            </a:rPr>
            <a:t>Avg. order value</a:t>
          </a:r>
        </a:p>
      </xdr:txBody>
    </xdr:sp>
    <xdr:clientData/>
  </xdr:twoCellAnchor>
  <xdr:twoCellAnchor>
    <xdr:from>
      <xdr:col>3</xdr:col>
      <xdr:colOff>49067</xdr:colOff>
      <xdr:row>1</xdr:row>
      <xdr:rowOff>107156</xdr:rowOff>
    </xdr:from>
    <xdr:to>
      <xdr:col>4</xdr:col>
      <xdr:colOff>81777</xdr:colOff>
      <xdr:row>2</xdr:row>
      <xdr:rowOff>118733</xdr:rowOff>
    </xdr:to>
    <xdr:sp macro="" textlink="">
      <xdr:nvSpPr>
        <xdr:cNvPr id="13" name="Rectangle: Rounded Corners 12">
          <a:extLst>
            <a:ext uri="{FF2B5EF4-FFF2-40B4-BE49-F238E27FC236}">
              <a16:creationId xmlns:a16="http://schemas.microsoft.com/office/drawing/2014/main" id="{6E01D873-7984-FBF9-C4EF-207895464E03}"/>
            </a:ext>
          </a:extLst>
        </xdr:cNvPr>
        <xdr:cNvSpPr/>
      </xdr:nvSpPr>
      <xdr:spPr>
        <a:xfrm>
          <a:off x="1877867" y="290036"/>
          <a:ext cx="642310" cy="194457"/>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gency FB" panose="020B0503020202020204" pitchFamily="34" charset="0"/>
            </a:rPr>
            <a:t>Order Fillled</a:t>
          </a:r>
        </a:p>
      </xdr:txBody>
    </xdr:sp>
    <xdr:clientData/>
  </xdr:twoCellAnchor>
  <xdr:twoCellAnchor>
    <xdr:from>
      <xdr:col>3</xdr:col>
      <xdr:colOff>52783</xdr:colOff>
      <xdr:row>4</xdr:row>
      <xdr:rowOff>20920</xdr:rowOff>
    </xdr:from>
    <xdr:to>
      <xdr:col>4</xdr:col>
      <xdr:colOff>271346</xdr:colOff>
      <xdr:row>5</xdr:row>
      <xdr:rowOff>36214</xdr:rowOff>
    </xdr:to>
    <xdr:sp macro="" textlink="">
      <xdr:nvSpPr>
        <xdr:cNvPr id="15" name="Rectangle: Rounded Corners 14">
          <a:extLst>
            <a:ext uri="{FF2B5EF4-FFF2-40B4-BE49-F238E27FC236}">
              <a16:creationId xmlns:a16="http://schemas.microsoft.com/office/drawing/2014/main" id="{F747DA64-6543-767A-0181-222C87BDC591}"/>
            </a:ext>
          </a:extLst>
        </xdr:cNvPr>
        <xdr:cNvSpPr/>
      </xdr:nvSpPr>
      <xdr:spPr>
        <a:xfrm>
          <a:off x="1881583" y="752440"/>
          <a:ext cx="828163" cy="198174"/>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gency FB" panose="020B0503020202020204" pitchFamily="34" charset="0"/>
            </a:rPr>
            <a:t>Active customers</a:t>
          </a:r>
        </a:p>
      </xdr:txBody>
    </xdr:sp>
    <xdr:clientData/>
  </xdr:twoCellAnchor>
  <xdr:twoCellAnchor>
    <xdr:from>
      <xdr:col>1</xdr:col>
      <xdr:colOff>480246</xdr:colOff>
      <xdr:row>2</xdr:row>
      <xdr:rowOff>65528</xdr:rowOff>
    </xdr:from>
    <xdr:to>
      <xdr:col>2</xdr:col>
      <xdr:colOff>564996</xdr:colOff>
      <xdr:row>3</xdr:row>
      <xdr:rowOff>133600</xdr:rowOff>
    </xdr:to>
    <xdr:sp macro="" textlink="salesdata!D11">
      <xdr:nvSpPr>
        <xdr:cNvPr id="16" name="Rectangle: Rounded Corners 15">
          <a:extLst>
            <a:ext uri="{FF2B5EF4-FFF2-40B4-BE49-F238E27FC236}">
              <a16:creationId xmlns:a16="http://schemas.microsoft.com/office/drawing/2014/main" id="{FAD363D6-5E37-6970-0FE4-17C6260D91FB}"/>
            </a:ext>
          </a:extLst>
        </xdr:cNvPr>
        <xdr:cNvSpPr/>
      </xdr:nvSpPr>
      <xdr:spPr>
        <a:xfrm>
          <a:off x="1089846" y="431288"/>
          <a:ext cx="694350" cy="250952"/>
        </a:xfrm>
        <a:prstGeom prst="roundRect">
          <a:avLst>
            <a:gd name="adj" fmla="val 4902"/>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290926F-3D96-4E7B-AF12-C2570952C78A}" type="TxLink">
            <a:rPr lang="en-US" sz="800" b="1" i="0" u="none" strike="noStrike">
              <a:solidFill>
                <a:schemeClr val="bg1"/>
              </a:solidFill>
              <a:latin typeface="Aptos Narrow"/>
            </a:rPr>
            <a:pPr algn="l"/>
            <a:t>36681.13</a:t>
          </a:fld>
          <a:endParaRPr lang="en-IN" sz="200" b="1">
            <a:solidFill>
              <a:schemeClr val="bg1"/>
            </a:solidFill>
            <a:latin typeface="Agency FB" panose="020B0503020202020204" pitchFamily="34" charset="0"/>
          </a:endParaRPr>
        </a:p>
      </xdr:txBody>
    </xdr:sp>
    <xdr:clientData/>
  </xdr:twoCellAnchor>
  <xdr:twoCellAnchor>
    <xdr:from>
      <xdr:col>3</xdr:col>
      <xdr:colOff>82520</xdr:colOff>
      <xdr:row>4</xdr:row>
      <xdr:rowOff>166633</xdr:rowOff>
    </xdr:from>
    <xdr:to>
      <xdr:col>4</xdr:col>
      <xdr:colOff>122664</xdr:colOff>
      <xdr:row>6</xdr:row>
      <xdr:rowOff>6477</xdr:rowOff>
    </xdr:to>
    <xdr:sp macro="" textlink="salesdata!B12">
      <xdr:nvSpPr>
        <xdr:cNvPr id="17" name="Rectangle: Rounded Corners 16">
          <a:extLst>
            <a:ext uri="{FF2B5EF4-FFF2-40B4-BE49-F238E27FC236}">
              <a16:creationId xmlns:a16="http://schemas.microsoft.com/office/drawing/2014/main" id="{AA27FE3C-1156-B462-D7A7-23C68EC51165}"/>
            </a:ext>
          </a:extLst>
        </xdr:cNvPr>
        <xdr:cNvSpPr/>
      </xdr:nvSpPr>
      <xdr:spPr>
        <a:xfrm>
          <a:off x="1911320" y="898153"/>
          <a:ext cx="649744" cy="205604"/>
        </a:xfrm>
        <a:prstGeom prst="roundRect">
          <a:avLst>
            <a:gd name="adj" fmla="val 4902"/>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38CA9D4-C150-42AC-B218-EF5FCC3BCB61}" type="TxLink">
            <a:rPr lang="en-US" sz="800" b="1" i="0" u="none" strike="noStrike">
              <a:solidFill>
                <a:schemeClr val="bg1"/>
              </a:solidFill>
              <a:latin typeface="Aptos Narrow"/>
            </a:rPr>
            <a:pPr algn="l"/>
            <a:t>7</a:t>
          </a:fld>
          <a:endParaRPr lang="en-US" sz="800" b="1">
            <a:solidFill>
              <a:schemeClr val="bg1"/>
            </a:solidFill>
          </a:endParaRPr>
        </a:p>
      </xdr:txBody>
    </xdr:sp>
    <xdr:clientData/>
  </xdr:twoCellAnchor>
  <xdr:twoCellAnchor>
    <xdr:from>
      <xdr:col>1</xdr:col>
      <xdr:colOff>476529</xdr:colOff>
      <xdr:row>4</xdr:row>
      <xdr:rowOff>159199</xdr:rowOff>
    </xdr:from>
    <xdr:to>
      <xdr:col>2</xdr:col>
      <xdr:colOff>505523</xdr:colOff>
      <xdr:row>5</xdr:row>
      <xdr:rowOff>170771</xdr:rowOff>
    </xdr:to>
    <xdr:sp macro="" textlink="salesdata!D15">
      <xdr:nvSpPr>
        <xdr:cNvPr id="18" name="Rectangle: Rounded Corners 17">
          <a:extLst>
            <a:ext uri="{FF2B5EF4-FFF2-40B4-BE49-F238E27FC236}">
              <a16:creationId xmlns:a16="http://schemas.microsoft.com/office/drawing/2014/main" id="{AD14FCD0-3937-EB27-BB56-BD83E7CD433B}"/>
            </a:ext>
          </a:extLst>
        </xdr:cNvPr>
        <xdr:cNvSpPr/>
      </xdr:nvSpPr>
      <xdr:spPr>
        <a:xfrm>
          <a:off x="1086129" y="890719"/>
          <a:ext cx="638594" cy="194452"/>
        </a:xfrm>
        <a:prstGeom prst="roundRect">
          <a:avLst>
            <a:gd name="adj" fmla="val 4902"/>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3C732D-1139-4651-A0A1-B900A3D7288C}" type="TxLink">
            <a:rPr lang="en-US" sz="800" b="1" i="0" u="none" strike="noStrike">
              <a:solidFill>
                <a:schemeClr val="bg1"/>
              </a:solidFill>
              <a:latin typeface="Aptos Narrow"/>
            </a:rPr>
            <a:pPr algn="l"/>
            <a:t>3668.113</a:t>
          </a:fld>
          <a:endParaRPr lang="en-IN" sz="100" b="1">
            <a:solidFill>
              <a:schemeClr val="bg1"/>
            </a:solidFill>
            <a:latin typeface="Agency FB" panose="020B0503020202020204" pitchFamily="34" charset="0"/>
          </a:endParaRPr>
        </a:p>
      </xdr:txBody>
    </xdr:sp>
    <xdr:clientData/>
  </xdr:twoCellAnchor>
  <xdr:twoCellAnchor editAs="oneCell">
    <xdr:from>
      <xdr:col>0</xdr:col>
      <xdr:colOff>320734</xdr:colOff>
      <xdr:row>1</xdr:row>
      <xdr:rowOff>163334</xdr:rowOff>
    </xdr:from>
    <xdr:to>
      <xdr:col>1</xdr:col>
      <xdr:colOff>509452</xdr:colOff>
      <xdr:row>5</xdr:row>
      <xdr:rowOff>139336</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C62BD0EE-9772-4B48-B13B-56DBB55951D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20734" y="344362"/>
              <a:ext cx="799160" cy="700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572432</xdr:colOff>
      <xdr:row>3</xdr:row>
      <xdr:rowOff>58515</xdr:rowOff>
    </xdr:from>
    <xdr:to>
      <xdr:col>3</xdr:col>
      <xdr:colOff>37172</xdr:colOff>
      <xdr:row>4</xdr:row>
      <xdr:rowOff>17628</xdr:rowOff>
    </xdr:to>
    <xdr:graphicFrame macro="">
      <xdr:nvGraphicFramePr>
        <xdr:cNvPr id="21" name="Chart 20">
          <a:extLst>
            <a:ext uri="{FF2B5EF4-FFF2-40B4-BE49-F238E27FC236}">
              <a16:creationId xmlns:a16="http://schemas.microsoft.com/office/drawing/2014/main" id="{12689CA8-B53F-426C-A5C9-A68B57E4F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319668</xdr:colOff>
      <xdr:row>6</xdr:row>
      <xdr:rowOff>18791</xdr:rowOff>
    </xdr:from>
    <xdr:to>
      <xdr:col>1</xdr:col>
      <xdr:colOff>487680</xdr:colOff>
      <xdr:row>13</xdr:row>
      <xdr:rowOff>112578</xdr:rowOff>
    </xdr:to>
    <mc:AlternateContent xmlns:mc="http://schemas.openxmlformats.org/markup-compatibility/2006" xmlns:a14="http://schemas.microsoft.com/office/drawing/2010/main">
      <mc:Choice Requires="a14">
        <xdr:graphicFrame macro="">
          <xdr:nvGraphicFramePr>
            <xdr:cNvPr id="26" name="PRODUCTLINE">
              <a:extLst>
                <a:ext uri="{FF2B5EF4-FFF2-40B4-BE49-F238E27FC236}">
                  <a16:creationId xmlns:a16="http://schemas.microsoft.com/office/drawing/2014/main" id="{27DC90F2-21F2-4BBC-8E3C-DC6D3C7CD300}"/>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319668" y="1104957"/>
              <a:ext cx="778454" cy="136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543755</xdr:colOff>
      <xdr:row>5</xdr:row>
      <xdr:rowOff>129887</xdr:rowOff>
    </xdr:from>
    <xdr:to>
      <xdr:col>3</xdr:col>
      <xdr:colOff>59473</xdr:colOff>
      <xdr:row>6</xdr:row>
      <xdr:rowOff>100148</xdr:rowOff>
    </xdr:to>
    <xdr:graphicFrame macro="">
      <xdr:nvGraphicFramePr>
        <xdr:cNvPr id="27" name="Chart 26">
          <a:extLst>
            <a:ext uri="{FF2B5EF4-FFF2-40B4-BE49-F238E27FC236}">
              <a16:creationId xmlns:a16="http://schemas.microsoft.com/office/drawing/2014/main" id="{4B012536-BB44-4BB4-84AA-C467C16F0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357051</xdr:colOff>
      <xdr:row>2</xdr:row>
      <xdr:rowOff>130626</xdr:rowOff>
    </xdr:from>
    <xdr:to>
      <xdr:col>8</xdr:col>
      <xdr:colOff>348342</xdr:colOff>
      <xdr:row>6</xdr:row>
      <xdr:rowOff>91438</xdr:rowOff>
    </xdr:to>
    <xdr:graphicFrame macro="">
      <xdr:nvGraphicFramePr>
        <xdr:cNvPr id="2" name="Chart 1">
          <a:extLst>
            <a:ext uri="{FF2B5EF4-FFF2-40B4-BE49-F238E27FC236}">
              <a16:creationId xmlns:a16="http://schemas.microsoft.com/office/drawing/2014/main" id="{A299BA81-C1A4-4E7D-B1D9-68FCC819D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301615</xdr:colOff>
      <xdr:row>1</xdr:row>
      <xdr:rowOff>120219</xdr:rowOff>
    </xdr:from>
    <xdr:to>
      <xdr:col>7</xdr:col>
      <xdr:colOff>82730</xdr:colOff>
      <xdr:row>2</xdr:row>
      <xdr:rowOff>148044</xdr:rowOff>
    </xdr:to>
    <xdr:sp macro="" textlink="">
      <xdr:nvSpPr>
        <xdr:cNvPr id="14" name="Rectangle: Rounded Corners 13">
          <a:extLst>
            <a:ext uri="{FF2B5EF4-FFF2-40B4-BE49-F238E27FC236}">
              <a16:creationId xmlns:a16="http://schemas.microsoft.com/office/drawing/2014/main" id="{D1C40B83-10DD-E987-4CDF-959FC64DA38D}"/>
            </a:ext>
          </a:extLst>
        </xdr:cNvPr>
        <xdr:cNvSpPr/>
      </xdr:nvSpPr>
      <xdr:spPr>
        <a:xfrm>
          <a:off x="2740015" y="303099"/>
          <a:ext cx="1609915" cy="210705"/>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gency FB" panose="020B0503020202020204" pitchFamily="34" charset="0"/>
            </a:rPr>
            <a:t>Sales</a:t>
          </a:r>
          <a:r>
            <a:rPr lang="en-IN" sz="900" baseline="0">
              <a:latin typeface="Agency FB" panose="020B0503020202020204" pitchFamily="34" charset="0"/>
            </a:rPr>
            <a:t> Quantity Trends over Time</a:t>
          </a:r>
          <a:endParaRPr lang="en-IN" sz="900">
            <a:latin typeface="Agency FB" panose="020B0503020202020204" pitchFamily="34" charset="0"/>
          </a:endParaRPr>
        </a:p>
      </xdr:txBody>
    </xdr:sp>
    <xdr:clientData/>
  </xdr:twoCellAnchor>
  <xdr:twoCellAnchor>
    <xdr:from>
      <xdr:col>1</xdr:col>
      <xdr:colOff>530374</xdr:colOff>
      <xdr:row>6</xdr:row>
      <xdr:rowOff>139336</xdr:rowOff>
    </xdr:from>
    <xdr:to>
      <xdr:col>4</xdr:col>
      <xdr:colOff>304800</xdr:colOff>
      <xdr:row>13</xdr:row>
      <xdr:rowOff>139335</xdr:rowOff>
    </xdr:to>
    <xdr:sp macro="" textlink="">
      <xdr:nvSpPr>
        <xdr:cNvPr id="22" name="Rectangle: Rounded Corners 21">
          <a:extLst>
            <a:ext uri="{FF2B5EF4-FFF2-40B4-BE49-F238E27FC236}">
              <a16:creationId xmlns:a16="http://schemas.microsoft.com/office/drawing/2014/main" id="{124B5C46-0984-47A4-1E56-D574BBCE0D53}"/>
            </a:ext>
          </a:extLst>
        </xdr:cNvPr>
        <xdr:cNvSpPr/>
      </xdr:nvSpPr>
      <xdr:spPr>
        <a:xfrm>
          <a:off x="1139974" y="1236616"/>
          <a:ext cx="1603226" cy="1280159"/>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561704</xdr:colOff>
      <xdr:row>6</xdr:row>
      <xdr:rowOff>169816</xdr:rowOff>
    </xdr:from>
    <xdr:to>
      <xdr:col>4</xdr:col>
      <xdr:colOff>283030</xdr:colOff>
      <xdr:row>13</xdr:row>
      <xdr:rowOff>100148</xdr:rowOff>
    </xdr:to>
    <xdr:graphicFrame macro="">
      <xdr:nvGraphicFramePr>
        <xdr:cNvPr id="23" name="Chart 22">
          <a:extLst>
            <a:ext uri="{FF2B5EF4-FFF2-40B4-BE49-F238E27FC236}">
              <a16:creationId xmlns:a16="http://schemas.microsoft.com/office/drawing/2014/main" id="{F2FA5AB9-B192-4CD5-964F-409FB7DAA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475787</xdr:colOff>
      <xdr:row>6</xdr:row>
      <xdr:rowOff>128929</xdr:rowOff>
    </xdr:from>
    <xdr:to>
      <xdr:col>3</xdr:col>
      <xdr:colOff>235132</xdr:colOff>
      <xdr:row>7</xdr:row>
      <xdr:rowOff>143691</xdr:rowOff>
    </xdr:to>
    <xdr:sp macro="" textlink="">
      <xdr:nvSpPr>
        <xdr:cNvPr id="19" name="Rectangle: Rounded Corners 18">
          <a:extLst>
            <a:ext uri="{FF2B5EF4-FFF2-40B4-BE49-F238E27FC236}">
              <a16:creationId xmlns:a16="http://schemas.microsoft.com/office/drawing/2014/main" id="{355F0144-0BA5-AF47-1891-EDFA769A0502}"/>
            </a:ext>
          </a:extLst>
        </xdr:cNvPr>
        <xdr:cNvSpPr/>
      </xdr:nvSpPr>
      <xdr:spPr>
        <a:xfrm>
          <a:off x="1085387" y="1226209"/>
          <a:ext cx="978545" cy="197642"/>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gency FB" panose="020B0503020202020204" pitchFamily="34" charset="0"/>
            </a:rPr>
            <a:t>Sales by Productline</a:t>
          </a:r>
        </a:p>
      </xdr:txBody>
    </xdr:sp>
    <xdr:clientData/>
  </xdr:twoCellAnchor>
  <xdr:twoCellAnchor>
    <xdr:from>
      <xdr:col>4</xdr:col>
      <xdr:colOff>321367</xdr:colOff>
      <xdr:row>6</xdr:row>
      <xdr:rowOff>148045</xdr:rowOff>
    </xdr:from>
    <xdr:to>
      <xdr:col>6</xdr:col>
      <xdr:colOff>478970</xdr:colOff>
      <xdr:row>10</xdr:row>
      <xdr:rowOff>47896</xdr:rowOff>
    </xdr:to>
    <xdr:sp macro="" textlink="">
      <xdr:nvSpPr>
        <xdr:cNvPr id="24" name="Rectangle: Rounded Corners 23">
          <a:extLst>
            <a:ext uri="{FF2B5EF4-FFF2-40B4-BE49-F238E27FC236}">
              <a16:creationId xmlns:a16="http://schemas.microsoft.com/office/drawing/2014/main" id="{D111C469-5D0A-12A9-CC2D-51EB6493C119}"/>
            </a:ext>
          </a:extLst>
        </xdr:cNvPr>
        <xdr:cNvSpPr/>
      </xdr:nvSpPr>
      <xdr:spPr>
        <a:xfrm>
          <a:off x="2759767" y="1245325"/>
          <a:ext cx="1376803" cy="631371"/>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325721</xdr:colOff>
      <xdr:row>10</xdr:row>
      <xdr:rowOff>60960</xdr:rowOff>
    </xdr:from>
    <xdr:to>
      <xdr:col>6</xdr:col>
      <xdr:colOff>474616</xdr:colOff>
      <xdr:row>13</xdr:row>
      <xdr:rowOff>130627</xdr:rowOff>
    </xdr:to>
    <xdr:sp macro="" textlink="">
      <xdr:nvSpPr>
        <xdr:cNvPr id="25" name="Rectangle: Rounded Corners 24">
          <a:extLst>
            <a:ext uri="{FF2B5EF4-FFF2-40B4-BE49-F238E27FC236}">
              <a16:creationId xmlns:a16="http://schemas.microsoft.com/office/drawing/2014/main" id="{4865A23B-C3DA-3039-DBD7-B64E6C418F51}"/>
            </a:ext>
          </a:extLst>
        </xdr:cNvPr>
        <xdr:cNvSpPr/>
      </xdr:nvSpPr>
      <xdr:spPr>
        <a:xfrm>
          <a:off x="2764121" y="1889760"/>
          <a:ext cx="1368095" cy="618307"/>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370114</xdr:colOff>
      <xdr:row>10</xdr:row>
      <xdr:rowOff>169816</xdr:rowOff>
    </xdr:from>
    <xdr:to>
      <xdr:col>6</xdr:col>
      <xdr:colOff>431074</xdr:colOff>
      <xdr:row>13</xdr:row>
      <xdr:rowOff>108855</xdr:rowOff>
    </xdr:to>
    <xdr:graphicFrame macro="">
      <xdr:nvGraphicFramePr>
        <xdr:cNvPr id="28" name="Chart 27">
          <a:extLst>
            <a:ext uri="{FF2B5EF4-FFF2-40B4-BE49-F238E27FC236}">
              <a16:creationId xmlns:a16="http://schemas.microsoft.com/office/drawing/2014/main" id="{5FC6328B-88EA-41FB-9439-700EA633E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271135</xdr:colOff>
      <xdr:row>10</xdr:row>
      <xdr:rowOff>33135</xdr:rowOff>
    </xdr:from>
    <xdr:to>
      <xdr:col>6</xdr:col>
      <xdr:colOff>30480</xdr:colOff>
      <xdr:row>11</xdr:row>
      <xdr:rowOff>47897</xdr:rowOff>
    </xdr:to>
    <xdr:sp macro="" textlink="">
      <xdr:nvSpPr>
        <xdr:cNvPr id="29" name="Rectangle: Rounded Corners 28">
          <a:extLst>
            <a:ext uri="{FF2B5EF4-FFF2-40B4-BE49-F238E27FC236}">
              <a16:creationId xmlns:a16="http://schemas.microsoft.com/office/drawing/2014/main" id="{6259FB7B-FC33-9C67-4414-81684FFAEE22}"/>
            </a:ext>
          </a:extLst>
        </xdr:cNvPr>
        <xdr:cNvSpPr/>
      </xdr:nvSpPr>
      <xdr:spPr>
        <a:xfrm>
          <a:off x="2709535" y="1861935"/>
          <a:ext cx="978545" cy="197642"/>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gency FB" panose="020B0503020202020204" pitchFamily="34" charset="0"/>
            </a:rPr>
            <a:t>Countries</a:t>
          </a:r>
          <a:r>
            <a:rPr lang="en-IN" sz="900" baseline="0">
              <a:latin typeface="Agency FB" panose="020B0503020202020204" pitchFamily="34" charset="0"/>
            </a:rPr>
            <a:t> by Sales</a:t>
          </a:r>
          <a:endParaRPr lang="en-IN" sz="900">
            <a:latin typeface="Agency FB" panose="020B0503020202020204" pitchFamily="34" charset="0"/>
          </a:endParaRPr>
        </a:p>
      </xdr:txBody>
    </xdr:sp>
    <xdr:clientData/>
  </xdr:twoCellAnchor>
  <xdr:twoCellAnchor>
    <xdr:from>
      <xdr:col>4</xdr:col>
      <xdr:colOff>339634</xdr:colOff>
      <xdr:row>7</xdr:row>
      <xdr:rowOff>121918</xdr:rowOff>
    </xdr:from>
    <xdr:to>
      <xdr:col>6</xdr:col>
      <xdr:colOff>452845</xdr:colOff>
      <xdr:row>10</xdr:row>
      <xdr:rowOff>21770</xdr:rowOff>
    </xdr:to>
    <xdr:graphicFrame macro="">
      <xdr:nvGraphicFramePr>
        <xdr:cNvPr id="31" name="Chart 30">
          <a:extLst>
            <a:ext uri="{FF2B5EF4-FFF2-40B4-BE49-F238E27FC236}">
              <a16:creationId xmlns:a16="http://schemas.microsoft.com/office/drawing/2014/main" id="{29D86840-573C-489B-B17D-5D954AB35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253718</xdr:colOff>
      <xdr:row>6</xdr:row>
      <xdr:rowOff>111512</xdr:rowOff>
    </xdr:from>
    <xdr:to>
      <xdr:col>6</xdr:col>
      <xdr:colOff>13063</xdr:colOff>
      <xdr:row>7</xdr:row>
      <xdr:rowOff>126274</xdr:rowOff>
    </xdr:to>
    <xdr:sp macro="" textlink="">
      <xdr:nvSpPr>
        <xdr:cNvPr id="32" name="Rectangle: Rounded Corners 31">
          <a:extLst>
            <a:ext uri="{FF2B5EF4-FFF2-40B4-BE49-F238E27FC236}">
              <a16:creationId xmlns:a16="http://schemas.microsoft.com/office/drawing/2014/main" id="{291A7929-2458-ABC6-30A9-81A38A94D5AC}"/>
            </a:ext>
          </a:extLst>
        </xdr:cNvPr>
        <xdr:cNvSpPr/>
      </xdr:nvSpPr>
      <xdr:spPr>
        <a:xfrm>
          <a:off x="2692118" y="1208792"/>
          <a:ext cx="978545" cy="197642"/>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gency FB" panose="020B0503020202020204" pitchFamily="34" charset="0"/>
            </a:rPr>
            <a:t>Product &amp; MSRP</a:t>
          </a:r>
        </a:p>
      </xdr:txBody>
    </xdr:sp>
    <xdr:clientData/>
  </xdr:twoCellAnchor>
  <xdr:twoCellAnchor>
    <xdr:from>
      <xdr:col>6</xdr:col>
      <xdr:colOff>491185</xdr:colOff>
      <xdr:row>6</xdr:row>
      <xdr:rowOff>148046</xdr:rowOff>
    </xdr:from>
    <xdr:to>
      <xdr:col>8</xdr:col>
      <xdr:colOff>409303</xdr:colOff>
      <xdr:row>13</xdr:row>
      <xdr:rowOff>130628</xdr:rowOff>
    </xdr:to>
    <xdr:sp macro="" textlink="">
      <xdr:nvSpPr>
        <xdr:cNvPr id="33" name="Rectangle: Rounded Corners 32">
          <a:extLst>
            <a:ext uri="{FF2B5EF4-FFF2-40B4-BE49-F238E27FC236}">
              <a16:creationId xmlns:a16="http://schemas.microsoft.com/office/drawing/2014/main" id="{DE89DA37-5F05-2947-C94D-1D303CD3D549}"/>
            </a:ext>
          </a:extLst>
        </xdr:cNvPr>
        <xdr:cNvSpPr/>
      </xdr:nvSpPr>
      <xdr:spPr>
        <a:xfrm>
          <a:off x="4148785" y="1245326"/>
          <a:ext cx="1137318" cy="1262742"/>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Agency FB" panose="020B0503020202020204" pitchFamily="34" charset="0"/>
            </a:rPr>
            <a:t>Top 5 Insights</a:t>
          </a:r>
        </a:p>
        <a:p>
          <a:pPr algn="l"/>
          <a:r>
            <a:rPr lang="en-IN" sz="600"/>
            <a:t>-</a:t>
          </a:r>
          <a:r>
            <a:rPr lang="en-IN" sz="600" baseline="0"/>
            <a:t> </a:t>
          </a:r>
          <a:r>
            <a:rPr lang="en-IN" sz="600"/>
            <a:t>Classic Cars are the strongest revenue driver</a:t>
          </a:r>
        </a:p>
        <a:p>
          <a:pPr algn="l"/>
          <a:r>
            <a:rPr lang="en-IN" sz="600"/>
            <a:t>- Medium-sized deals dominate sales</a:t>
          </a:r>
        </a:p>
        <a:p>
          <a:pPr algn="l"/>
          <a:r>
            <a:rPr lang="en-IN" sz="600"/>
            <a:t>- Australia and USA contribute significant business</a:t>
          </a:r>
        </a:p>
        <a:p>
          <a:pPr algn="l"/>
          <a:r>
            <a:rPr lang="en-IN" sz="600"/>
            <a:t>- Certain customers generate repeated orders</a:t>
          </a:r>
        </a:p>
        <a:p>
          <a:pPr algn="l"/>
          <a:r>
            <a:rPr lang="en-IN" sz="600"/>
            <a:t>- Strong sales concentration near year-end</a:t>
          </a:r>
        </a:p>
      </xdr:txBody>
    </xdr:sp>
    <xdr:clientData/>
  </xdr:twoCellAnchor>
  <xdr:twoCellAnchor>
    <xdr:from>
      <xdr:col>3</xdr:col>
      <xdr:colOff>80289</xdr:colOff>
      <xdr:row>2</xdr:row>
      <xdr:rowOff>76467</xdr:rowOff>
    </xdr:from>
    <xdr:to>
      <xdr:col>4</xdr:col>
      <xdr:colOff>109283</xdr:colOff>
      <xdr:row>3</xdr:row>
      <xdr:rowOff>88039</xdr:rowOff>
    </xdr:to>
    <xdr:sp macro="" textlink="salesdata!D15">
      <xdr:nvSpPr>
        <xdr:cNvPr id="34" name="Rectangle: Rounded Corners 33">
          <a:extLst>
            <a:ext uri="{FF2B5EF4-FFF2-40B4-BE49-F238E27FC236}">
              <a16:creationId xmlns:a16="http://schemas.microsoft.com/office/drawing/2014/main" id="{90A6420A-46A0-2435-D1A9-F7F3884C53DF}"/>
            </a:ext>
          </a:extLst>
        </xdr:cNvPr>
        <xdr:cNvSpPr/>
      </xdr:nvSpPr>
      <xdr:spPr>
        <a:xfrm>
          <a:off x="1909089" y="442227"/>
          <a:ext cx="638594" cy="194452"/>
        </a:xfrm>
        <a:prstGeom prst="roundRect">
          <a:avLst>
            <a:gd name="adj" fmla="val 4902"/>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i="0" u="none" strike="noStrike">
              <a:solidFill>
                <a:schemeClr val="bg1"/>
              </a:solidFill>
              <a:latin typeface="Aptos Narrow"/>
            </a:rPr>
            <a:t>Shipped</a:t>
          </a:r>
          <a:endParaRPr lang="en-IN" sz="100" b="1">
            <a:solidFill>
              <a:schemeClr val="bg1"/>
            </a:solidFill>
            <a:latin typeface="Agency FB" panose="020B0503020202020204" pitchFamily="34" charset="0"/>
          </a:endParaRPr>
        </a:p>
      </xdr:txBody>
    </xdr:sp>
    <xdr:clientData/>
  </xdr:twoCellAnchor>
  <xdr:twoCellAnchor editAs="oneCell">
    <xdr:from>
      <xdr:col>3</xdr:col>
      <xdr:colOff>592183</xdr:colOff>
      <xdr:row>2</xdr:row>
      <xdr:rowOff>174170</xdr:rowOff>
    </xdr:from>
    <xdr:to>
      <xdr:col>4</xdr:col>
      <xdr:colOff>222069</xdr:colOff>
      <xdr:row>4</xdr:row>
      <xdr:rowOff>47896</xdr:rowOff>
    </xdr:to>
    <xdr:pic>
      <xdr:nvPicPr>
        <xdr:cNvPr id="36" name="Graphic 35" descr="Car with solid fill">
          <a:extLst>
            <a:ext uri="{FF2B5EF4-FFF2-40B4-BE49-F238E27FC236}">
              <a16:creationId xmlns:a16="http://schemas.microsoft.com/office/drawing/2014/main" id="{4265E97E-41FE-2B24-5266-8627B7CFD88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20983" y="539930"/>
          <a:ext cx="239486" cy="239486"/>
        </a:xfrm>
        <a:prstGeom prst="rect">
          <a:avLst/>
        </a:prstGeom>
      </xdr:spPr>
    </xdr:pic>
    <xdr:clientData/>
  </xdr:twoCellAnchor>
  <xdr:twoCellAnchor editAs="oneCell">
    <xdr:from>
      <xdr:col>4</xdr:col>
      <xdr:colOff>52251</xdr:colOff>
      <xdr:row>5</xdr:row>
      <xdr:rowOff>43541</xdr:rowOff>
    </xdr:from>
    <xdr:to>
      <xdr:col>4</xdr:col>
      <xdr:colOff>291737</xdr:colOff>
      <xdr:row>6</xdr:row>
      <xdr:rowOff>100147</xdr:rowOff>
    </xdr:to>
    <xdr:pic>
      <xdr:nvPicPr>
        <xdr:cNvPr id="38" name="Graphic 37" descr="Man with solid fill">
          <a:extLst>
            <a:ext uri="{FF2B5EF4-FFF2-40B4-BE49-F238E27FC236}">
              <a16:creationId xmlns:a16="http://schemas.microsoft.com/office/drawing/2014/main" id="{8F1C489C-FFB7-D450-5535-CEFCA940223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90651" y="957941"/>
          <a:ext cx="239486" cy="239486"/>
        </a:xfrm>
        <a:prstGeom prst="rect">
          <a:avLst/>
        </a:prstGeom>
      </xdr:spPr>
    </xdr:pic>
    <xdr:clientData/>
  </xdr:twoCellAnchor>
  <xdr:twoCellAnchor>
    <xdr:from>
      <xdr:col>0</xdr:col>
      <xdr:colOff>269677</xdr:colOff>
      <xdr:row>0</xdr:row>
      <xdr:rowOff>26414</xdr:rowOff>
    </xdr:from>
    <xdr:to>
      <xdr:col>8</xdr:col>
      <xdr:colOff>443849</xdr:colOff>
      <xdr:row>1</xdr:row>
      <xdr:rowOff>78666</xdr:rowOff>
    </xdr:to>
    <xdr:sp macro="" textlink="">
      <xdr:nvSpPr>
        <xdr:cNvPr id="30" name="Rectangle: Rounded Corners 29">
          <a:extLst>
            <a:ext uri="{FF2B5EF4-FFF2-40B4-BE49-F238E27FC236}">
              <a16:creationId xmlns:a16="http://schemas.microsoft.com/office/drawing/2014/main" id="{0749988D-EB6C-0370-B391-CBCECF35F8CC}"/>
            </a:ext>
          </a:extLst>
        </xdr:cNvPr>
        <xdr:cNvSpPr/>
      </xdr:nvSpPr>
      <xdr:spPr>
        <a:xfrm>
          <a:off x="269677" y="26414"/>
          <a:ext cx="5057708" cy="23328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latin typeface="Agency FB" panose="020B0503020202020204" pitchFamily="34" charset="0"/>
            </a:rPr>
            <a:t>Sales Analytics Dashboard</a:t>
          </a:r>
          <a:endParaRPr lang="en-IN" sz="1100" b="1">
            <a:latin typeface="Agency FB" panose="020B0503020202020204" pitchFamily="34" charset="0"/>
          </a:endParaRPr>
        </a:p>
      </xdr:txBody>
    </xdr:sp>
    <xdr:clientData/>
  </xdr:twoCellAnchor>
  <xdr:twoCellAnchor>
    <xdr:from>
      <xdr:col>0</xdr:col>
      <xdr:colOff>265227</xdr:colOff>
      <xdr:row>14</xdr:row>
      <xdr:rowOff>58939</xdr:rowOff>
    </xdr:from>
    <xdr:to>
      <xdr:col>8</xdr:col>
      <xdr:colOff>425205</xdr:colOff>
      <xdr:row>18</xdr:row>
      <xdr:rowOff>172608</xdr:rowOff>
    </xdr:to>
    <xdr:sp macro="" textlink="">
      <xdr:nvSpPr>
        <xdr:cNvPr id="35" name="Rectangle: Rounded Corners 34">
          <a:extLst>
            <a:ext uri="{FF2B5EF4-FFF2-40B4-BE49-F238E27FC236}">
              <a16:creationId xmlns:a16="http://schemas.microsoft.com/office/drawing/2014/main" id="{85FE98A3-95B1-85CA-0FA8-B7FAA68F35DE}"/>
            </a:ext>
          </a:extLst>
        </xdr:cNvPr>
        <xdr:cNvSpPr/>
      </xdr:nvSpPr>
      <xdr:spPr>
        <a:xfrm>
          <a:off x="265227" y="2593326"/>
          <a:ext cx="5043514" cy="837779"/>
        </a:xfrm>
        <a:prstGeom prst="roundRect">
          <a:avLst>
            <a:gd name="adj" fmla="val 1154"/>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326347</xdr:colOff>
      <xdr:row>16</xdr:row>
      <xdr:rowOff>35222</xdr:rowOff>
    </xdr:from>
    <xdr:to>
      <xdr:col>2</xdr:col>
      <xdr:colOff>105248</xdr:colOff>
      <xdr:row>18</xdr:row>
      <xdr:rowOff>130513</xdr:rowOff>
    </xdr:to>
    <xdr:sp macro="" textlink="">
      <xdr:nvSpPr>
        <xdr:cNvPr id="39" name="Rectangle: Rounded Corners 38">
          <a:extLst>
            <a:ext uri="{FF2B5EF4-FFF2-40B4-BE49-F238E27FC236}">
              <a16:creationId xmlns:a16="http://schemas.microsoft.com/office/drawing/2014/main" id="{B994AE64-690E-B887-4DAC-74CDFCD5DBDE}"/>
            </a:ext>
          </a:extLst>
        </xdr:cNvPr>
        <xdr:cNvSpPr/>
      </xdr:nvSpPr>
      <xdr:spPr>
        <a:xfrm>
          <a:off x="326347" y="2931664"/>
          <a:ext cx="999785" cy="457346"/>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270097</xdr:colOff>
      <xdr:row>15</xdr:row>
      <xdr:rowOff>149611</xdr:rowOff>
    </xdr:from>
    <xdr:to>
      <xdr:col>1</xdr:col>
      <xdr:colOff>475724</xdr:colOff>
      <xdr:row>17</xdr:row>
      <xdr:rowOff>63152</xdr:rowOff>
    </xdr:to>
    <xdr:sp macro="" textlink="">
      <xdr:nvSpPr>
        <xdr:cNvPr id="40" name="Rectangle: Rounded Corners 39">
          <a:extLst>
            <a:ext uri="{FF2B5EF4-FFF2-40B4-BE49-F238E27FC236}">
              <a16:creationId xmlns:a16="http://schemas.microsoft.com/office/drawing/2014/main" id="{A6A1B6EB-5C98-C4AB-7459-6BE255074083}"/>
            </a:ext>
          </a:extLst>
        </xdr:cNvPr>
        <xdr:cNvSpPr/>
      </xdr:nvSpPr>
      <xdr:spPr>
        <a:xfrm>
          <a:off x="270097" y="2865025"/>
          <a:ext cx="816069" cy="275597"/>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latin typeface="Agency FB" panose="020B0503020202020204" pitchFamily="34" charset="0"/>
            </a:rPr>
            <a:t>total Revenue</a:t>
          </a:r>
        </a:p>
      </xdr:txBody>
    </xdr:sp>
    <xdr:clientData/>
  </xdr:twoCellAnchor>
  <xdr:twoCellAnchor>
    <xdr:from>
      <xdr:col>2</xdr:col>
      <xdr:colOff>125113</xdr:colOff>
      <xdr:row>16</xdr:row>
      <xdr:rowOff>15015</xdr:rowOff>
    </xdr:from>
    <xdr:to>
      <xdr:col>3</xdr:col>
      <xdr:colOff>437834</xdr:colOff>
      <xdr:row>18</xdr:row>
      <xdr:rowOff>113674</xdr:rowOff>
    </xdr:to>
    <xdr:sp macro="" textlink="">
      <xdr:nvSpPr>
        <xdr:cNvPr id="43" name="Rectangle: Rounded Corners 42">
          <a:extLst>
            <a:ext uri="{FF2B5EF4-FFF2-40B4-BE49-F238E27FC236}">
              <a16:creationId xmlns:a16="http://schemas.microsoft.com/office/drawing/2014/main" id="{0112CB66-A324-CE4A-B4A2-B5E0266B67B0}"/>
            </a:ext>
          </a:extLst>
        </xdr:cNvPr>
        <xdr:cNvSpPr/>
      </xdr:nvSpPr>
      <xdr:spPr>
        <a:xfrm>
          <a:off x="1345997" y="2911457"/>
          <a:ext cx="923163" cy="460714"/>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102542</xdr:colOff>
      <xdr:row>15</xdr:row>
      <xdr:rowOff>154663</xdr:rowOff>
    </xdr:from>
    <xdr:to>
      <xdr:col>3</xdr:col>
      <xdr:colOff>308169</xdr:colOff>
      <xdr:row>17</xdr:row>
      <xdr:rowOff>68204</xdr:rowOff>
    </xdr:to>
    <xdr:sp macro="" textlink="">
      <xdr:nvSpPr>
        <xdr:cNvPr id="44" name="Rectangle: Rounded Corners 43">
          <a:extLst>
            <a:ext uri="{FF2B5EF4-FFF2-40B4-BE49-F238E27FC236}">
              <a16:creationId xmlns:a16="http://schemas.microsoft.com/office/drawing/2014/main" id="{829D1F98-9332-1939-965B-85F7430977C9}"/>
            </a:ext>
          </a:extLst>
        </xdr:cNvPr>
        <xdr:cNvSpPr/>
      </xdr:nvSpPr>
      <xdr:spPr>
        <a:xfrm>
          <a:off x="1323426" y="2870077"/>
          <a:ext cx="816069" cy="275597"/>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latin typeface="Agency FB" panose="020B0503020202020204" pitchFamily="34" charset="0"/>
            </a:rPr>
            <a:t>Total Orders</a:t>
          </a:r>
        </a:p>
      </xdr:txBody>
    </xdr:sp>
    <xdr:clientData/>
  </xdr:twoCellAnchor>
  <xdr:twoCellAnchor>
    <xdr:from>
      <xdr:col>3</xdr:col>
      <xdr:colOff>458540</xdr:colOff>
      <xdr:row>16</xdr:row>
      <xdr:rowOff>24276</xdr:rowOff>
    </xdr:from>
    <xdr:to>
      <xdr:col>5</xdr:col>
      <xdr:colOff>277858</xdr:colOff>
      <xdr:row>18</xdr:row>
      <xdr:rowOff>126302</xdr:rowOff>
    </xdr:to>
    <xdr:sp macro="" textlink="">
      <xdr:nvSpPr>
        <xdr:cNvPr id="45" name="Rectangle: Rounded Corners 44">
          <a:extLst>
            <a:ext uri="{FF2B5EF4-FFF2-40B4-BE49-F238E27FC236}">
              <a16:creationId xmlns:a16="http://schemas.microsoft.com/office/drawing/2014/main" id="{DB697C92-80F6-6601-B1C1-A7A21C5CBB50}"/>
            </a:ext>
          </a:extLst>
        </xdr:cNvPr>
        <xdr:cNvSpPr/>
      </xdr:nvSpPr>
      <xdr:spPr>
        <a:xfrm>
          <a:off x="2289866" y="2920718"/>
          <a:ext cx="1040202" cy="464081"/>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414919</xdr:colOff>
      <xdr:row>15</xdr:row>
      <xdr:rowOff>159716</xdr:rowOff>
    </xdr:from>
    <xdr:to>
      <xdr:col>5</xdr:col>
      <xdr:colOff>353635</xdr:colOff>
      <xdr:row>17</xdr:row>
      <xdr:rowOff>50524</xdr:rowOff>
    </xdr:to>
    <xdr:sp macro="" textlink="">
      <xdr:nvSpPr>
        <xdr:cNvPr id="46" name="Rectangle: Rounded Corners 45">
          <a:extLst>
            <a:ext uri="{FF2B5EF4-FFF2-40B4-BE49-F238E27FC236}">
              <a16:creationId xmlns:a16="http://schemas.microsoft.com/office/drawing/2014/main" id="{C3CD3C0E-540E-1724-7536-3BA6A1D2FC32}"/>
            </a:ext>
          </a:extLst>
        </xdr:cNvPr>
        <xdr:cNvSpPr/>
      </xdr:nvSpPr>
      <xdr:spPr>
        <a:xfrm>
          <a:off x="2246245" y="2875130"/>
          <a:ext cx="1159600" cy="252864"/>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latin typeface="Agency FB" panose="020B0503020202020204" pitchFamily="34" charset="0"/>
            </a:rPr>
            <a:t>Average Order Value</a:t>
          </a:r>
        </a:p>
      </xdr:txBody>
    </xdr:sp>
    <xdr:clientData/>
  </xdr:twoCellAnchor>
  <xdr:twoCellAnchor>
    <xdr:from>
      <xdr:col>5</xdr:col>
      <xdr:colOff>299403</xdr:colOff>
      <xdr:row>16</xdr:row>
      <xdr:rowOff>25119</xdr:rowOff>
    </xdr:from>
    <xdr:to>
      <xdr:col>6</xdr:col>
      <xdr:colOff>572552</xdr:colOff>
      <xdr:row>18</xdr:row>
      <xdr:rowOff>130512</xdr:rowOff>
    </xdr:to>
    <xdr:sp macro="" textlink="">
      <xdr:nvSpPr>
        <xdr:cNvPr id="47" name="Rectangle: Rounded Corners 46">
          <a:extLst>
            <a:ext uri="{FF2B5EF4-FFF2-40B4-BE49-F238E27FC236}">
              <a16:creationId xmlns:a16="http://schemas.microsoft.com/office/drawing/2014/main" id="{55F91D08-F35E-EE9D-77F1-425E26EFB757}"/>
            </a:ext>
          </a:extLst>
        </xdr:cNvPr>
        <xdr:cNvSpPr/>
      </xdr:nvSpPr>
      <xdr:spPr>
        <a:xfrm>
          <a:off x="3351613" y="2921561"/>
          <a:ext cx="883591" cy="467448"/>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243152</xdr:colOff>
      <xdr:row>15</xdr:row>
      <xdr:rowOff>168978</xdr:rowOff>
    </xdr:from>
    <xdr:to>
      <xdr:col>7</xdr:col>
      <xdr:colOff>50519</xdr:colOff>
      <xdr:row>17</xdr:row>
      <xdr:rowOff>33684</xdr:rowOff>
    </xdr:to>
    <xdr:sp macro="" textlink="">
      <xdr:nvSpPr>
        <xdr:cNvPr id="48" name="Rectangle: Rounded Corners 47">
          <a:extLst>
            <a:ext uri="{FF2B5EF4-FFF2-40B4-BE49-F238E27FC236}">
              <a16:creationId xmlns:a16="http://schemas.microsoft.com/office/drawing/2014/main" id="{A8800D7B-E12A-EC6E-E67C-FD41D45D5209}"/>
            </a:ext>
          </a:extLst>
        </xdr:cNvPr>
        <xdr:cNvSpPr/>
      </xdr:nvSpPr>
      <xdr:spPr>
        <a:xfrm>
          <a:off x="3295362" y="2884392"/>
          <a:ext cx="1028251" cy="226762"/>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latin typeface="Agency FB" panose="020B0503020202020204" pitchFamily="34" charset="0"/>
            </a:rPr>
            <a:t>Active Customers</a:t>
          </a:r>
        </a:p>
      </xdr:txBody>
    </xdr:sp>
    <xdr:clientData/>
  </xdr:twoCellAnchor>
  <xdr:twoCellAnchor>
    <xdr:from>
      <xdr:col>6</xdr:col>
      <xdr:colOff>594945</xdr:colOff>
      <xdr:row>16</xdr:row>
      <xdr:rowOff>17541</xdr:rowOff>
    </xdr:from>
    <xdr:to>
      <xdr:col>8</xdr:col>
      <xdr:colOff>390685</xdr:colOff>
      <xdr:row>18</xdr:row>
      <xdr:rowOff>121251</xdr:rowOff>
    </xdr:to>
    <xdr:sp macro="" textlink="">
      <xdr:nvSpPr>
        <xdr:cNvPr id="49" name="Rectangle: Rounded Corners 48">
          <a:extLst>
            <a:ext uri="{FF2B5EF4-FFF2-40B4-BE49-F238E27FC236}">
              <a16:creationId xmlns:a16="http://schemas.microsoft.com/office/drawing/2014/main" id="{62D3221B-60C2-E1C0-72FA-4EBD460A8886}"/>
            </a:ext>
          </a:extLst>
        </xdr:cNvPr>
        <xdr:cNvSpPr/>
      </xdr:nvSpPr>
      <xdr:spPr>
        <a:xfrm>
          <a:off x="4257597" y="2913983"/>
          <a:ext cx="1016624" cy="465765"/>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534484</xdr:colOff>
      <xdr:row>15</xdr:row>
      <xdr:rowOff>152980</xdr:rowOff>
    </xdr:from>
    <xdr:to>
      <xdr:col>9</xdr:col>
      <xdr:colOff>248386</xdr:colOff>
      <xdr:row>17</xdr:row>
      <xdr:rowOff>16843</xdr:rowOff>
    </xdr:to>
    <xdr:sp macro="" textlink="">
      <xdr:nvSpPr>
        <xdr:cNvPr id="50" name="Rectangle: Rounded Corners 49">
          <a:extLst>
            <a:ext uri="{FF2B5EF4-FFF2-40B4-BE49-F238E27FC236}">
              <a16:creationId xmlns:a16="http://schemas.microsoft.com/office/drawing/2014/main" id="{992F3E73-9724-1C17-09A3-0C11C64B6F8F}"/>
            </a:ext>
          </a:extLst>
        </xdr:cNvPr>
        <xdr:cNvSpPr/>
      </xdr:nvSpPr>
      <xdr:spPr>
        <a:xfrm>
          <a:off x="4197136" y="2868394"/>
          <a:ext cx="1545228" cy="225919"/>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latin typeface="Agency FB" panose="020B0503020202020204" pitchFamily="34" charset="0"/>
            </a:rPr>
            <a:t>Average Sales/Cust</a:t>
          </a:r>
        </a:p>
      </xdr:txBody>
    </xdr:sp>
    <xdr:clientData/>
  </xdr:twoCellAnchor>
  <xdr:twoCellAnchor>
    <xdr:from>
      <xdr:col>0</xdr:col>
      <xdr:colOff>270939</xdr:colOff>
      <xdr:row>16</xdr:row>
      <xdr:rowOff>142033</xdr:rowOff>
    </xdr:from>
    <xdr:to>
      <xdr:col>1</xdr:col>
      <xdr:colOff>476566</xdr:colOff>
      <xdr:row>18</xdr:row>
      <xdr:rowOff>55575</xdr:rowOff>
    </xdr:to>
    <xdr:sp macro="" textlink="salesdata!H24">
      <xdr:nvSpPr>
        <xdr:cNvPr id="55" name="Rectangle: Rounded Corners 54">
          <a:extLst>
            <a:ext uri="{FF2B5EF4-FFF2-40B4-BE49-F238E27FC236}">
              <a16:creationId xmlns:a16="http://schemas.microsoft.com/office/drawing/2014/main" id="{FE7634E7-DB72-584B-D52A-596419B3C60D}"/>
            </a:ext>
          </a:extLst>
        </xdr:cNvPr>
        <xdr:cNvSpPr/>
      </xdr:nvSpPr>
      <xdr:spPr>
        <a:xfrm>
          <a:off x="270939" y="3038475"/>
          <a:ext cx="816069" cy="275597"/>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74E11FB-A665-4C9F-BB7E-094D0D44EB93}" type="TxLink">
            <a:rPr lang="en-US" sz="1100" b="1" i="0" u="none" strike="noStrike">
              <a:solidFill>
                <a:schemeClr val="bg1"/>
              </a:solidFill>
              <a:latin typeface="Aptos Narrow"/>
            </a:rPr>
            <a:pPr algn="l"/>
            <a:t>903280.85</a:t>
          </a:fld>
          <a:endParaRPr lang="en-IN" sz="1050" b="1">
            <a:solidFill>
              <a:schemeClr val="bg1"/>
            </a:solidFill>
            <a:latin typeface="Agency FB" panose="020B0503020202020204" pitchFamily="34" charset="0"/>
          </a:endParaRPr>
        </a:p>
      </xdr:txBody>
    </xdr:sp>
    <xdr:clientData/>
  </xdr:twoCellAnchor>
  <xdr:twoCellAnchor>
    <xdr:from>
      <xdr:col>2</xdr:col>
      <xdr:colOff>111803</xdr:colOff>
      <xdr:row>16</xdr:row>
      <xdr:rowOff>155504</xdr:rowOff>
    </xdr:from>
    <xdr:to>
      <xdr:col>3</xdr:col>
      <xdr:colOff>317430</xdr:colOff>
      <xdr:row>18</xdr:row>
      <xdr:rowOff>69046</xdr:rowOff>
    </xdr:to>
    <xdr:sp macro="" textlink="salesdata!H25">
      <xdr:nvSpPr>
        <xdr:cNvPr id="56" name="Rectangle: Rounded Corners 55">
          <a:extLst>
            <a:ext uri="{FF2B5EF4-FFF2-40B4-BE49-F238E27FC236}">
              <a16:creationId xmlns:a16="http://schemas.microsoft.com/office/drawing/2014/main" id="{7A39760A-8404-E850-4353-8E29D382F816}"/>
            </a:ext>
          </a:extLst>
        </xdr:cNvPr>
        <xdr:cNvSpPr/>
      </xdr:nvSpPr>
      <xdr:spPr>
        <a:xfrm>
          <a:off x="1332687" y="3051946"/>
          <a:ext cx="816069" cy="275597"/>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0EF318-DD07-4011-BE75-1A004738CE11}" type="TxLink">
            <a:rPr lang="en-US" sz="1100" b="1" i="0" u="none" strike="noStrike">
              <a:solidFill>
                <a:schemeClr val="bg1"/>
              </a:solidFill>
              <a:latin typeface="Aptos Narrow"/>
            </a:rPr>
            <a:pPr algn="l"/>
            <a:t>17</a:t>
          </a:fld>
          <a:endParaRPr lang="en-IN" sz="1050" b="1">
            <a:solidFill>
              <a:schemeClr val="bg1"/>
            </a:solidFill>
            <a:latin typeface="Agency FB" panose="020B0503020202020204" pitchFamily="34" charset="0"/>
          </a:endParaRPr>
        </a:p>
      </xdr:txBody>
    </xdr:sp>
    <xdr:clientData/>
  </xdr:twoCellAnchor>
  <xdr:twoCellAnchor>
    <xdr:from>
      <xdr:col>3</xdr:col>
      <xdr:colOff>432598</xdr:colOff>
      <xdr:row>16</xdr:row>
      <xdr:rowOff>147926</xdr:rowOff>
    </xdr:from>
    <xdr:to>
      <xdr:col>5</xdr:col>
      <xdr:colOff>227335</xdr:colOff>
      <xdr:row>18</xdr:row>
      <xdr:rowOff>46314</xdr:rowOff>
    </xdr:to>
    <xdr:sp macro="" textlink="salesdata!H26">
      <xdr:nvSpPr>
        <xdr:cNvPr id="57" name="Rectangle: Rounded Corners 56">
          <a:extLst>
            <a:ext uri="{FF2B5EF4-FFF2-40B4-BE49-F238E27FC236}">
              <a16:creationId xmlns:a16="http://schemas.microsoft.com/office/drawing/2014/main" id="{46F97A5C-BA25-453A-2CCF-CB436696AD35}"/>
            </a:ext>
          </a:extLst>
        </xdr:cNvPr>
        <xdr:cNvSpPr/>
      </xdr:nvSpPr>
      <xdr:spPr>
        <a:xfrm>
          <a:off x="2263924" y="3044368"/>
          <a:ext cx="1015621" cy="260443"/>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BDD1D0E-34F0-4D96-8758-192A7FD3DDC8}" type="TxLink">
            <a:rPr lang="en-US" sz="1100" b="1" i="0" u="none" strike="noStrike">
              <a:solidFill>
                <a:schemeClr val="bg1"/>
              </a:solidFill>
              <a:latin typeface="Aptos Narrow"/>
            </a:rPr>
            <a:pPr algn="l"/>
            <a:t>53134.16765</a:t>
          </a:fld>
          <a:endParaRPr lang="en-IN" sz="1050" b="1">
            <a:solidFill>
              <a:schemeClr val="bg1"/>
            </a:solidFill>
            <a:latin typeface="Agency FB" panose="020B0503020202020204" pitchFamily="34" charset="0"/>
          </a:endParaRPr>
        </a:p>
      </xdr:txBody>
    </xdr:sp>
    <xdr:clientData/>
  </xdr:twoCellAnchor>
  <xdr:twoCellAnchor>
    <xdr:from>
      <xdr:col>5</xdr:col>
      <xdr:colOff>260831</xdr:colOff>
      <xdr:row>16</xdr:row>
      <xdr:rowOff>152978</xdr:rowOff>
    </xdr:from>
    <xdr:to>
      <xdr:col>6</xdr:col>
      <xdr:colOff>466458</xdr:colOff>
      <xdr:row>18</xdr:row>
      <xdr:rowOff>66520</xdr:rowOff>
    </xdr:to>
    <xdr:sp macro="" textlink="salesdata!H27">
      <xdr:nvSpPr>
        <xdr:cNvPr id="58" name="Rectangle: Rounded Corners 57">
          <a:extLst>
            <a:ext uri="{FF2B5EF4-FFF2-40B4-BE49-F238E27FC236}">
              <a16:creationId xmlns:a16="http://schemas.microsoft.com/office/drawing/2014/main" id="{18F12ABD-BAE7-E633-30FE-07ABAF10E4AC}"/>
            </a:ext>
          </a:extLst>
        </xdr:cNvPr>
        <xdr:cNvSpPr/>
      </xdr:nvSpPr>
      <xdr:spPr>
        <a:xfrm>
          <a:off x="3313041" y="3049420"/>
          <a:ext cx="816069" cy="275597"/>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90A71EE-D190-490C-BA58-72A9D96EDB29}" type="TxLink">
            <a:rPr lang="en-US" sz="1100" b="1" i="0" u="none" strike="noStrike">
              <a:solidFill>
                <a:schemeClr val="bg1"/>
              </a:solidFill>
              <a:latin typeface="Aptos Narrow"/>
            </a:rPr>
            <a:pPr algn="l"/>
            <a:t>7</a:t>
          </a:fld>
          <a:endParaRPr lang="en-IN" sz="1050" b="1">
            <a:solidFill>
              <a:schemeClr val="bg1"/>
            </a:solidFill>
            <a:latin typeface="Agency FB" panose="020B0503020202020204" pitchFamily="34" charset="0"/>
          </a:endParaRPr>
        </a:p>
      </xdr:txBody>
    </xdr:sp>
    <xdr:clientData/>
  </xdr:twoCellAnchor>
  <xdr:twoCellAnchor>
    <xdr:from>
      <xdr:col>6</xdr:col>
      <xdr:colOff>556371</xdr:colOff>
      <xdr:row>16</xdr:row>
      <xdr:rowOff>162240</xdr:rowOff>
    </xdr:from>
    <xdr:to>
      <xdr:col>8</xdr:col>
      <xdr:colOff>341005</xdr:colOff>
      <xdr:row>18</xdr:row>
      <xdr:rowOff>50524</xdr:rowOff>
    </xdr:to>
    <xdr:sp macro="" textlink="salesdata!H28">
      <xdr:nvSpPr>
        <xdr:cNvPr id="59" name="Rectangle: Rounded Corners 58">
          <a:extLst>
            <a:ext uri="{FF2B5EF4-FFF2-40B4-BE49-F238E27FC236}">
              <a16:creationId xmlns:a16="http://schemas.microsoft.com/office/drawing/2014/main" id="{0EFBC59C-5BA5-2337-491D-0887423595A4}"/>
            </a:ext>
          </a:extLst>
        </xdr:cNvPr>
        <xdr:cNvSpPr/>
      </xdr:nvSpPr>
      <xdr:spPr>
        <a:xfrm>
          <a:off x="4219023" y="3058682"/>
          <a:ext cx="1005518" cy="250339"/>
        </a:xfrm>
        <a:prstGeom prst="roundRect">
          <a:avLst>
            <a:gd name="adj" fmla="val 49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A6ED0C-ADFE-4982-BB8D-38C6C67FB564}" type="TxLink">
            <a:rPr lang="en-US" sz="1100" b="1" i="0" u="none" strike="noStrike">
              <a:solidFill>
                <a:schemeClr val="bg1"/>
              </a:solidFill>
              <a:latin typeface="Aptos Narrow"/>
            </a:rPr>
            <a:pPr algn="l"/>
            <a:t>129040.1214</a:t>
          </a:fld>
          <a:endParaRPr lang="en-IN" sz="1050" b="1">
            <a:solidFill>
              <a:schemeClr val="bg1"/>
            </a:solidFill>
            <a:latin typeface="Agency FB" panose="020B0503020202020204" pitchFamily="34" charset="0"/>
          </a:endParaRPr>
        </a:p>
      </xdr:txBody>
    </xdr:sp>
    <xdr:clientData/>
  </xdr:twoCellAnchor>
  <xdr:twoCellAnchor>
    <xdr:from>
      <xdr:col>0</xdr:col>
      <xdr:colOff>328376</xdr:colOff>
      <xdr:row>14</xdr:row>
      <xdr:rowOff>91636</xdr:rowOff>
    </xdr:from>
    <xdr:to>
      <xdr:col>8</xdr:col>
      <xdr:colOff>378895</xdr:colOff>
      <xdr:row>15</xdr:row>
      <xdr:rowOff>168398</xdr:rowOff>
    </xdr:to>
    <xdr:sp macro="" textlink="">
      <xdr:nvSpPr>
        <xdr:cNvPr id="64" name="Rectangle: Rounded Corners 63">
          <a:extLst>
            <a:ext uri="{FF2B5EF4-FFF2-40B4-BE49-F238E27FC236}">
              <a16:creationId xmlns:a16="http://schemas.microsoft.com/office/drawing/2014/main" id="{0BDFFB42-37C9-1A54-8C18-C8BD521761B8}"/>
            </a:ext>
          </a:extLst>
        </xdr:cNvPr>
        <xdr:cNvSpPr/>
      </xdr:nvSpPr>
      <xdr:spPr>
        <a:xfrm>
          <a:off x="328376" y="2626023"/>
          <a:ext cx="4934055" cy="257789"/>
        </a:xfrm>
        <a:prstGeom prst="roundRect">
          <a:avLst>
            <a:gd name="adj" fmla="val 4902"/>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Agency FB" panose="020B0503020202020204" pitchFamily="34" charset="0"/>
            </a:rPr>
            <a:t>KPI Block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ika" refreshedDate="46186.445784837961" createdVersion="8" refreshedVersion="8" minRefreshableVersion="3" recordCount="250" xr:uid="{CC0E6779-8423-41C6-A4F9-4E989511FA8E}">
  <cacheSource type="worksheet">
    <worksheetSource ref="A1:U251" sheet="sales_data_sample"/>
  </cacheSource>
  <cacheFields count="21">
    <cacheField name="ORDERNUMBER" numFmtId="0">
      <sharedItems containsSemiMixedTypes="0" containsString="0" containsNumber="1" containsInteger="1" minValue="10102" maxValue="10420"/>
    </cacheField>
    <cacheField name="QUANTITYORDERED" numFmtId="0">
      <sharedItems containsSemiMixedTypes="0" containsString="0" containsNumber="1" containsInteger="1" minValue="15" maxValue="66" count="35">
        <n v="37"/>
        <n v="23"/>
        <n v="20"/>
        <n v="21"/>
        <n v="30"/>
        <n v="24"/>
        <n v="29"/>
        <n v="47"/>
        <n v="26"/>
        <n v="46"/>
        <n v="49"/>
        <n v="39"/>
        <n v="25"/>
        <n v="32"/>
        <n v="27"/>
        <n v="35"/>
        <n v="28"/>
        <n v="42"/>
        <n v="36"/>
        <n v="48"/>
        <n v="43"/>
        <n v="40"/>
        <n v="31"/>
        <n v="41"/>
        <n v="33"/>
        <n v="55"/>
        <n v="38"/>
        <n v="22"/>
        <n v="45"/>
        <n v="50"/>
        <n v="44"/>
        <n v="34"/>
        <n v="66"/>
        <n v="60"/>
        <n v="15"/>
      </sharedItems>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7"/>
    </cacheField>
    <cacheField name="SALES" numFmtId="0">
      <sharedItems containsSemiMixedTypes="0" containsString="0" containsNumber="1" minValue="652.35" maxValue="11279.2" count="250">
        <n v="3965.66"/>
        <n v="2333.12"/>
        <n v="1451"/>
        <n v="4860.24"/>
        <n v="4905.3900000000003"/>
        <n v="3944.7"/>
        <n v="2416.56"/>
        <n v="2793.86"/>
        <n v="5422.39"/>
        <n v="1329.9"/>
        <n v="9264.86"/>
        <n v="9774.0300000000007"/>
        <n v="7023.9"/>
        <n v="1201.25"/>
        <n v="4302.08"/>
        <n v="4428"/>
        <n v="2297.0500000000002"/>
        <n v="1735.3"/>
        <n v="5019.8999999999996"/>
        <n v="11279.2"/>
        <n v="4094.72"/>
        <n v="3586.43"/>
        <n v="8470.14"/>
        <n v="2464.8000000000002"/>
        <n v="4639.25"/>
        <n v="4193.28"/>
        <n v="4111.8"/>
        <n v="7366.44"/>
        <n v="1466.91"/>
        <n v="8138.76"/>
        <n v="4408.5600000000004"/>
        <n v="2298.2399999999998"/>
        <n v="5723.78"/>
        <n v="2559.6"/>
        <n v="1517.88"/>
        <n v="5232.96"/>
        <n v="4164.12"/>
        <n v="2083.1999999999998"/>
        <n v="3911.49"/>
        <n v="2467.9"/>
        <n v="2702.04"/>
        <n v="6182.4"/>
        <n v="6454.4"/>
        <n v="4808.3100000000004"/>
        <n v="3254.72"/>
        <n v="3184.94"/>
        <n v="5548.9"/>
        <n v="2055.7399999999998"/>
        <n v="2113.37"/>
        <n v="1237.95"/>
        <n v="4998"/>
        <n v="5848.68"/>
        <n v="4032"/>
        <n v="5890.5"/>
        <n v="5283.6"/>
        <n v="3599.75"/>
        <n v="4232"/>
        <n v="6432.64"/>
        <n v="3160.74"/>
        <n v="7381.16"/>
        <n v="7146.9"/>
        <n v="7207.45"/>
        <n v="6719.54"/>
        <n v="1643.12"/>
        <n v="2288.52"/>
        <n v="6295.95"/>
        <n v="1236.8399999999999"/>
        <n v="5223.4799999999996"/>
        <n v="3949"/>
        <n v="3206.32"/>
        <n v="4977"/>
        <n v="6834.5"/>
        <n v="2130.92"/>
        <n v="1694"/>
        <n v="2082.4899999999998"/>
        <n v="4724.91"/>
        <n v="2674.9"/>
        <n v="1695.96"/>
        <n v="6483.46"/>
        <n v="7956.46"/>
        <n v="4815.3"/>
        <n v="3528.36"/>
        <n v="4169.88"/>
        <n v="5545.76"/>
        <n v="3329.09"/>
        <n v="2983.44"/>
        <n v="4814.3999999999996"/>
        <n v="1448"/>
        <n v="1424"/>
        <n v="3358.08"/>
        <n v="2208.64"/>
        <n v="1801.2"/>
        <n v="4900.8"/>
        <n v="4775.08"/>
        <n v="4948.2"/>
        <n v="3837.24"/>
        <n v="5418.88"/>
        <n v="3155.49"/>
        <n v="5029.5"/>
        <n v="7396.8"/>
        <n v="1534.95"/>
        <n v="2264.3200000000002"/>
        <n v="3403.08"/>
        <n v="1668.5"/>
        <n v="3095.4"/>
        <n v="4991.4399999999996"/>
        <n v="2656.94"/>
        <n v="4444.92"/>
        <n v="6548.3"/>
        <n v="3639.44"/>
        <n v="5735.8"/>
        <n v="2598.8200000000002"/>
        <n v="1357.72"/>
        <n v="2598.64"/>
        <n v="1454.7"/>
        <n v="3447"/>
        <n v="5379.71"/>
        <n v="5679.36"/>
        <n v="4394.84"/>
        <n v="3598.22"/>
        <n v="2482.11"/>
        <n v="6134.7"/>
        <n v="4498.1899999999996"/>
        <n v="5383.08"/>
        <n v="5884.65"/>
        <n v="1668.37"/>
        <n v="2567.84"/>
        <n v="6832.02"/>
        <n v="2730"/>
        <n v="4910.3999999999996"/>
        <n v="7901.1"/>
        <n v="6276.46"/>
        <n v="2356.25"/>
        <n v="3431.7"/>
        <n v="2719.8"/>
        <n v="2078.2800000000002"/>
        <n v="1506.5"/>
        <n v="1249.4000000000001"/>
        <n v="3204"/>
        <n v="3880.2"/>
        <n v="3259.92"/>
        <n v="1213.8"/>
        <n v="1729"/>
        <n v="2275.1999999999998"/>
        <n v="3431.75"/>
        <n v="2921.28"/>
        <n v="2299"/>
        <n v="2671.95"/>
        <n v="2241.4499999999998"/>
        <n v="2233.69"/>
        <n v="4651.53"/>
        <n v="3608.76"/>
        <n v="8344.7099999999991"/>
        <n v="1209.5999999999999"/>
        <n v="2848.86"/>
        <n v="2633.78"/>
        <n v="2087.13"/>
        <n v="4042.08"/>
        <n v="3820.44"/>
        <n v="2816.18"/>
        <n v="2070.9"/>
        <n v="2533.63"/>
        <n v="1545.6"/>
        <n v="4527.04"/>
        <n v="3315.12"/>
        <n v="3933.93"/>
        <n v="1489.41"/>
        <n v="3338.1"/>
        <n v="1336.68"/>
        <n v="4392.12"/>
        <n v="4242"/>
        <n v="4645.72"/>
        <n v="5296.5"/>
        <n v="1575.6"/>
        <n v="2282.2199999999998"/>
        <n v="3184.8"/>
        <n v="4256.5600000000004"/>
        <n v="3385.9"/>
        <n v="1707.14"/>
        <n v="2997.6"/>
        <n v="3871.92"/>
        <n v="3469.5"/>
        <n v="4368.96"/>
        <n v="5110.9799999999996"/>
        <n v="2617.16"/>
        <n v="5013.54"/>
        <n v="3710.98"/>
        <n v="1295.97"/>
        <n v="1698.78"/>
        <n v="652.35"/>
        <n v="5568.64"/>
        <n v="1939.8"/>
        <n v="3182.97"/>
        <n v="3276.13"/>
        <n v="3845.1"/>
        <n v="6267.69"/>
        <n v="2479.21"/>
        <n v="1716.26"/>
        <n v="1561.5"/>
        <n v="2269.92"/>
        <n v="3684.67"/>
        <n v="2743.04"/>
        <n v="1963.6"/>
        <n v="2461.36"/>
        <n v="2475.27"/>
        <n v="1035.58"/>
        <n v="1045.98"/>
        <n v="1108.3800000000001"/>
        <n v="2337.75"/>
        <n v="1535.49"/>
        <n v="2054.36"/>
        <n v="1330.35"/>
        <n v="8209.44"/>
        <n v="3160.25"/>
        <n v="2094.67"/>
        <n v="1320.8"/>
        <n v="3544.17"/>
        <n v="3920.88"/>
        <n v="3113.64"/>
        <n v="2626.8"/>
        <n v="2480.38"/>
        <n v="1896.66"/>
        <n v="2725.47"/>
        <n v="2843.91"/>
        <n v="6176.42"/>
        <n v="3179.52"/>
        <n v="2296.77"/>
        <n v="3866.4"/>
        <n v="1366.8"/>
        <n v="3478.05"/>
        <n v="3863.87"/>
        <n v="2534.75"/>
        <n v="1210.8"/>
        <n v="2530.8000000000002"/>
        <n v="1089.3599999999999"/>
        <n v="2584.8000000000002"/>
        <n v="2754.7"/>
        <n v="4048"/>
        <n v="4248.3"/>
        <n v="3417.12"/>
        <n v="3199.86"/>
        <n v="3186.48"/>
        <n v="3268"/>
        <n v="1747.2"/>
        <n v="5001.92"/>
        <n v="2770.78"/>
        <n v="2588.04"/>
        <n v="4277.3500000000004"/>
        <n v="2189.6"/>
        <n v="4080.72"/>
      </sharedItems>
    </cacheField>
    <cacheField name="ORDERDATE" numFmtId="14">
      <sharedItems containsDate="1" containsMixedTypes="1" minDate="2003-02-12T00:00:00" maxDate="2005-09-04T00:00:00" count="25">
        <s v="2-20-2004"/>
        <d v="2004-05-04T00:00:00"/>
        <s v="12-17-2004"/>
        <s v="10-20-2003"/>
        <s v="7-19-2004"/>
        <s v="11-29-2004"/>
        <d v="2005-09-03T00:00:00"/>
        <s v="4-29-2003"/>
        <s v="11-21-2004"/>
        <s v="1-20-2005"/>
        <d v="2003-04-11T00:00:00"/>
        <d v="2003-03-06T00:00:00"/>
        <d v="2004-03-11T00:00:00"/>
        <d v="2004-05-11T00:00:00"/>
        <d v="2004-01-12T00:00:00"/>
        <d v="2003-04-04T00:00:00"/>
        <d v="2003-11-09T00:00:00"/>
        <d v="2003-02-12T00:00:00"/>
        <s v="11-24-2004"/>
        <d v="2003-10-01T00:00:00"/>
        <s v="5-21-2003"/>
        <s v="7-16-2003"/>
        <s v="5-29-2005"/>
        <d v="2004-07-07T00:00:00"/>
        <s v="4-20-2004"/>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ount="75">
        <n v="95"/>
        <n v="214"/>
        <n v="118"/>
        <n v="193"/>
        <n v="136"/>
        <n v="147"/>
        <n v="194"/>
        <n v="207"/>
        <n v="150"/>
        <n v="151"/>
        <n v="173"/>
        <n v="79"/>
        <n v="116"/>
        <n v="141"/>
        <n v="102"/>
        <n v="53"/>
        <n v="124"/>
        <n v="170"/>
        <n v="77"/>
        <n v="142"/>
        <n v="163"/>
        <n v="60"/>
        <n v="122"/>
        <n v="127"/>
        <n v="84"/>
        <n v="168"/>
        <n v="132"/>
        <n v="101"/>
        <n v="62"/>
        <n v="104"/>
        <n v="169"/>
        <n v="80"/>
        <n v="99"/>
        <n v="146"/>
        <n v="143"/>
        <n v="92"/>
        <n v="87"/>
        <n v="121"/>
        <n v="50"/>
        <n v="148"/>
        <n v="71"/>
        <n v="73"/>
        <n v="57"/>
        <n v="112"/>
        <n v="109"/>
        <n v="33"/>
        <n v="76"/>
        <n v="44"/>
        <n v="69"/>
        <n v="90"/>
        <n v="35"/>
        <n v="117"/>
        <n v="37"/>
        <n v="85"/>
        <n v="61"/>
        <n v="65"/>
        <n v="107"/>
        <n v="140"/>
        <n v="68"/>
        <n v="41"/>
        <n v="97"/>
        <n v="72"/>
        <n v="96"/>
        <n v="40"/>
        <n v="54"/>
        <n v="64"/>
        <n v="43"/>
        <n v="115"/>
        <n v="58"/>
        <n v="81"/>
        <n v="91"/>
        <n v="86"/>
        <n v="100"/>
        <n v="74"/>
        <n v="49"/>
      </sharedItems>
    </cacheField>
    <cacheField name="PRODUCTCODE" numFmtId="0">
      <sharedItems count="97">
        <s v="S10_1678"/>
        <s v="S10_1949"/>
        <s v="S10_2016"/>
        <s v="S10_4698"/>
        <s v="S10_4757"/>
        <s v="S10_4962"/>
        <s v="S12_1099"/>
        <s v="S12_1108"/>
        <s v="S12_1666"/>
        <s v="S12_2823"/>
        <s v="S12_3148"/>
        <s v="S12_3891"/>
        <s v="S12_3990"/>
        <s v="S12_4473"/>
        <s v="S18_1097"/>
        <s v="S18_1129"/>
        <s v="S18_1342"/>
        <s v="S18_1367"/>
        <s v="S18_1589"/>
        <s v="S18_1749"/>
        <s v="S18_1889"/>
        <s v="S18_1984"/>
        <s v="S18_2238"/>
        <s v="S18_2248"/>
        <s v="S18_2319"/>
        <s v="S18_2325"/>
        <s v="S18_2432"/>
        <s v="S18_2581"/>
        <s v="S18_2625"/>
        <s v="S18_2795"/>
        <s v="S18_2870"/>
        <s v="S18_2949"/>
        <s v="S18_2957"/>
        <s v="S18_3136"/>
        <s v="S18_3232"/>
        <s v="S18_3278"/>
        <s v="S18_3320"/>
        <s v="S18_3482"/>
        <s v="S18_3685"/>
        <s v="S18_3782"/>
        <s v="S18_4027"/>
        <s v="S18_4409"/>
        <s v="S18_4522"/>
        <s v="S18_4600"/>
        <s v="S18_4668"/>
        <s v="S18_4721"/>
        <s v="S18_4933"/>
        <s v="S24_1046"/>
        <s v="S24_1444"/>
        <s v="S24_1578"/>
        <s v="S24_1628"/>
        <s v="S24_1785"/>
        <s v="S24_1937"/>
        <s v="S24_2000"/>
        <s v="S24_2011"/>
        <s v="S24_2022"/>
        <s v="S24_2300"/>
        <s v="S24_2360"/>
        <s v="S24_2766"/>
        <s v="S24_2840"/>
        <s v="S24_2887"/>
        <s v="S24_2972"/>
        <s v="S24_3191"/>
        <s v="S24_3371"/>
        <s v="S24_3420"/>
        <s v="S24_3432"/>
        <s v="S24_3856"/>
        <s v="S24_3949"/>
        <s v="S24_3969"/>
        <s v="S24_4048"/>
        <s v="S24_4258"/>
        <s v="S24_4278"/>
        <s v="S24_4620"/>
        <s v="S32_1268"/>
        <s v="S32_1374"/>
        <s v="S32_2206"/>
        <s v="S32_2509"/>
        <s v="S32_3207"/>
        <s v="S32_3522"/>
        <s v="S32_4289"/>
        <s v="S32_4485"/>
        <s v="S50_1341"/>
        <s v="S50_1392"/>
        <s v="S50_1514"/>
        <s v="S50_4713"/>
        <s v="S700_1691"/>
        <s v="S700_1938"/>
        <s v="S700_2047"/>
        <s v="S700_2466"/>
        <s v="S700_2824"/>
        <s v="S700_2834"/>
        <s v="S700_3167"/>
        <s v="S700_3505"/>
        <s v="S700_3962"/>
        <s v="S700_4002"/>
        <s v="S72_1253"/>
        <s v="S72_3212"/>
      </sharedItems>
    </cacheField>
    <cacheField name="CUSTOMERNAME" numFmtId="0">
      <sharedItems/>
    </cacheField>
    <cacheField name="PHONE" numFmtId="0">
      <sharedItems containsMixedTypes="1" containsNumber="1" containsInteger="1" minValue="2125551500" maxValue="2125558493"/>
    </cacheField>
    <cacheField name="ADDRESSLINE1" numFmtId="0">
      <sharedItems/>
    </cacheField>
    <cacheField name="ADDRESSLINE2" numFmtId="0">
      <sharedItems/>
    </cacheField>
    <cacheField name="CITY" numFmtId="0">
      <sharedItems count="4">
        <s v="Melbourne"/>
        <s v="NYC"/>
        <s v="Chatswood"/>
        <s v="North Sydney"/>
      </sharedItems>
    </cacheField>
    <cacheField name="STATE" numFmtId="0">
      <sharedItems count="3">
        <s v="Victoria"/>
        <s v="NY"/>
        <s v="NSW"/>
      </sharedItems>
    </cacheField>
    <cacheField name="POSTALCODE" numFmtId="0">
      <sharedItems containsSemiMixedTypes="0" containsString="0" containsNumber="1" containsInteger="1" minValue="2060" maxValue="10022"/>
    </cacheField>
    <cacheField name="COUNTRY" numFmtId="0">
      <sharedItems count="2">
        <s v="Australia"/>
        <s v="USA"/>
      </sharedItems>
    </cacheField>
    <cacheField name="TERRITORY" numFmtId="0">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pivotCacheId="1773565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0223"/>
    <x v="0"/>
    <n v="100"/>
    <n v="1"/>
    <x v="0"/>
    <x v="0"/>
    <x v="0"/>
    <x v="0"/>
    <x v="0"/>
    <s v="Australian Collectors, Co."/>
    <s v="03 9520 4555"/>
    <s v="636 St Kilda Road"/>
    <s v="Level 3"/>
    <x v="0"/>
    <x v="0"/>
    <n v="3004"/>
    <x v="0"/>
    <s v="APAC"/>
    <s v="Ferguson"/>
    <s v="Peter"/>
    <s v="Medium"/>
  </r>
  <r>
    <n v="10237"/>
    <x v="1"/>
    <n v="100"/>
    <n v="7"/>
    <x v="1"/>
    <x v="1"/>
    <x v="0"/>
    <x v="0"/>
    <x v="0"/>
    <s v="Vitachrome Inc."/>
    <n v="2125551500"/>
    <s v="2678 Kingston Rd."/>
    <s v="Suite 101"/>
    <x v="1"/>
    <x v="1"/>
    <n v="10022"/>
    <x v="1"/>
    <s v="NA"/>
    <s v="Frick"/>
    <s v="Michael"/>
    <s v="Small"/>
  </r>
  <r>
    <n v="10361"/>
    <x v="2"/>
    <n v="72.55"/>
    <n v="13"/>
    <x v="2"/>
    <x v="2"/>
    <x v="0"/>
    <x v="0"/>
    <x v="0"/>
    <s v="Souveniers And Things Co."/>
    <s v="+61 2 9495 8555"/>
    <s v="Monitor Money Building, 815 Pacific Hwy"/>
    <s v="Level 6"/>
    <x v="2"/>
    <x v="2"/>
    <n v="2067"/>
    <x v="0"/>
    <s v="APAC"/>
    <s v="Huxley"/>
    <s v="Adrian"/>
    <s v="Small"/>
  </r>
  <r>
    <n v="10163"/>
    <x v="3"/>
    <n v="100"/>
    <n v="1"/>
    <x v="3"/>
    <x v="3"/>
    <x v="1"/>
    <x v="1"/>
    <x v="1"/>
    <s v="Classic Legends Inc."/>
    <n v="2125558493"/>
    <s v="5905 Pompton St."/>
    <s v="Suite 750"/>
    <x v="1"/>
    <x v="1"/>
    <n v="10022"/>
    <x v="1"/>
    <s v="NA"/>
    <s v="Hernandez"/>
    <s v="Maria"/>
    <s v="Medium"/>
  </r>
  <r>
    <n v="10270"/>
    <x v="3"/>
    <n v="100"/>
    <n v="9"/>
    <x v="4"/>
    <x v="4"/>
    <x v="1"/>
    <x v="1"/>
    <x v="1"/>
    <s v="Souveniers And Things Co."/>
    <s v="+61 2 9495 8555"/>
    <s v="Monitor Money Building, 815 Pacific Hwy"/>
    <s v="Level 6"/>
    <x v="2"/>
    <x v="2"/>
    <n v="2067"/>
    <x v="0"/>
    <s v="APAC"/>
    <s v="Huxley"/>
    <s v="Adrian"/>
    <s v="Medium"/>
  </r>
  <r>
    <n v="10347"/>
    <x v="4"/>
    <n v="100"/>
    <n v="1"/>
    <x v="5"/>
    <x v="5"/>
    <x v="1"/>
    <x v="1"/>
    <x v="1"/>
    <s v="Australian Collectors, Co."/>
    <s v="03 9520 4555"/>
    <s v="636 St Kilda Road"/>
    <s v="Level 3"/>
    <x v="0"/>
    <x v="0"/>
    <n v="3004"/>
    <x v="0"/>
    <s v="APAC"/>
    <s v="Ferguson"/>
    <s v="Peter"/>
    <s v="Medium"/>
  </r>
  <r>
    <n v="10391"/>
    <x v="5"/>
    <n v="100"/>
    <n v="4"/>
    <x v="6"/>
    <x v="6"/>
    <x v="1"/>
    <x v="1"/>
    <x v="1"/>
    <s v="Anna's Decorations, Ltd"/>
    <s v="02 9936 8555"/>
    <s v="201 Miller Street"/>
    <s v="Level 15"/>
    <x v="3"/>
    <x v="2"/>
    <n v="2060"/>
    <x v="0"/>
    <s v="APAC"/>
    <s v="O'Hara"/>
    <s v="Anna"/>
    <s v="Small"/>
  </r>
  <r>
    <n v="10120"/>
    <x v="6"/>
    <n v="96.34"/>
    <n v="3"/>
    <x v="7"/>
    <x v="7"/>
    <x v="0"/>
    <x v="2"/>
    <x v="2"/>
    <s v="Australian Collectors, Co."/>
    <s v="03 9520 4555"/>
    <s v="636 St Kilda Road"/>
    <s v="Level 3"/>
    <x v="0"/>
    <x v="0"/>
    <n v="3004"/>
    <x v="0"/>
    <s v="APAC"/>
    <s v="Ferguson"/>
    <s v="Peter"/>
    <s v="Small"/>
  </r>
  <r>
    <n v="10223"/>
    <x v="7"/>
    <n v="100"/>
    <n v="4"/>
    <x v="8"/>
    <x v="0"/>
    <x v="0"/>
    <x v="2"/>
    <x v="2"/>
    <s v="Australian Collectors, Co."/>
    <s v="03 9520 4555"/>
    <s v="636 St Kilda Road"/>
    <s v="Level 3"/>
    <x v="0"/>
    <x v="0"/>
    <n v="3004"/>
    <x v="0"/>
    <s v="APAC"/>
    <s v="Ferguson"/>
    <s v="Peter"/>
    <s v="Medium"/>
  </r>
  <r>
    <n v="10361"/>
    <x v="8"/>
    <n v="51.15"/>
    <n v="8"/>
    <x v="9"/>
    <x v="2"/>
    <x v="0"/>
    <x v="2"/>
    <x v="2"/>
    <s v="Souveniers And Things Co."/>
    <s v="+61 2 9495 8555"/>
    <s v="Monitor Money Building, 815 Pacific Hwy"/>
    <s v="Level 6"/>
    <x v="2"/>
    <x v="2"/>
    <n v="2067"/>
    <x v="0"/>
    <s v="APAC"/>
    <s v="Huxley"/>
    <s v="Adrian"/>
    <s v="Small"/>
  </r>
  <r>
    <n v="10120"/>
    <x v="9"/>
    <n v="100"/>
    <n v="2"/>
    <x v="10"/>
    <x v="7"/>
    <x v="0"/>
    <x v="3"/>
    <x v="3"/>
    <s v="Australian Collectors, Co."/>
    <s v="03 9520 4555"/>
    <s v="636 St Kilda Road"/>
    <s v="Level 3"/>
    <x v="0"/>
    <x v="0"/>
    <n v="3004"/>
    <x v="0"/>
    <s v="APAC"/>
    <s v="Ferguson"/>
    <s v="Peter"/>
    <s v="Large"/>
  </r>
  <r>
    <n v="10223"/>
    <x v="10"/>
    <n v="100"/>
    <n v="3"/>
    <x v="11"/>
    <x v="0"/>
    <x v="0"/>
    <x v="3"/>
    <x v="3"/>
    <s v="Australian Collectors, Co."/>
    <s v="03 9520 4555"/>
    <s v="636 St Kilda Road"/>
    <s v="Level 3"/>
    <x v="0"/>
    <x v="0"/>
    <n v="3004"/>
    <x v="0"/>
    <s v="APAC"/>
    <s v="Ferguson"/>
    <s v="Peter"/>
    <s v="Large"/>
  </r>
  <r>
    <n v="10237"/>
    <x v="11"/>
    <n v="100"/>
    <n v="9"/>
    <x v="12"/>
    <x v="1"/>
    <x v="0"/>
    <x v="3"/>
    <x v="3"/>
    <s v="Vitachrome Inc."/>
    <n v="2125551500"/>
    <s v="2678 Kingston Rd."/>
    <s v="Suite 101"/>
    <x v="1"/>
    <x v="1"/>
    <n v="10022"/>
    <x v="1"/>
    <s v="NA"/>
    <s v="Frick"/>
    <s v="Michael"/>
    <s v="Large"/>
  </r>
  <r>
    <n v="10337"/>
    <x v="12"/>
    <n v="48.05"/>
    <n v="8"/>
    <x v="13"/>
    <x v="8"/>
    <x v="1"/>
    <x v="4"/>
    <x v="4"/>
    <s v="Classic Legends Inc."/>
    <n v="2125558493"/>
    <s v="5905 Pompton St."/>
    <s v="Suite 750"/>
    <x v="1"/>
    <x v="1"/>
    <n v="10022"/>
    <x v="1"/>
    <s v="NA"/>
    <s v="Hernandez"/>
    <s v="Maria"/>
    <s v="Small"/>
  </r>
  <r>
    <n v="10270"/>
    <x v="13"/>
    <n v="100"/>
    <n v="2"/>
    <x v="14"/>
    <x v="4"/>
    <x v="1"/>
    <x v="5"/>
    <x v="5"/>
    <s v="Souveniers And Things Co."/>
    <s v="+61 2 9495 8555"/>
    <s v="Monitor Money Building, 815 Pacific Hwy"/>
    <s v="Level 6"/>
    <x v="2"/>
    <x v="2"/>
    <n v="2067"/>
    <x v="0"/>
    <s v="APAC"/>
    <s v="Huxley"/>
    <s v="Adrian"/>
    <s v="Medium"/>
  </r>
  <r>
    <n v="10347"/>
    <x v="14"/>
    <n v="100"/>
    <n v="2"/>
    <x v="15"/>
    <x v="5"/>
    <x v="1"/>
    <x v="5"/>
    <x v="5"/>
    <s v="Australian Collectors, Co."/>
    <s v="03 9520 4555"/>
    <s v="636 St Kilda Road"/>
    <s v="Level 3"/>
    <x v="0"/>
    <x v="0"/>
    <n v="3004"/>
    <x v="0"/>
    <s v="APAC"/>
    <s v="Ferguson"/>
    <s v="Peter"/>
    <s v="Medium"/>
  </r>
  <r>
    <n v="10370"/>
    <x v="15"/>
    <n v="65.63"/>
    <n v="4"/>
    <x v="16"/>
    <x v="9"/>
    <x v="1"/>
    <x v="5"/>
    <x v="5"/>
    <s v="Anna's Decorations, Ltd"/>
    <s v="02 9936 8555"/>
    <s v="201 Miller Street"/>
    <s v="Level 15"/>
    <x v="3"/>
    <x v="2"/>
    <n v="2060"/>
    <x v="0"/>
    <s v="APAC"/>
    <s v="O'Hara"/>
    <s v="Anna"/>
    <s v="Small"/>
  </r>
  <r>
    <n v="10391"/>
    <x v="0"/>
    <n v="46.9"/>
    <n v="7"/>
    <x v="17"/>
    <x v="6"/>
    <x v="1"/>
    <x v="5"/>
    <x v="5"/>
    <s v="Anna's Decorations, Ltd"/>
    <s v="02 9936 8555"/>
    <s v="201 Miller Street"/>
    <s v="Level 15"/>
    <x v="3"/>
    <x v="2"/>
    <n v="2060"/>
    <x v="0"/>
    <s v="APAC"/>
    <s v="O'Hara"/>
    <s v="Anna"/>
    <s v="Small"/>
  </r>
  <r>
    <n v="10169"/>
    <x v="4"/>
    <n v="100"/>
    <n v="2"/>
    <x v="18"/>
    <x v="10"/>
    <x v="1"/>
    <x v="6"/>
    <x v="6"/>
    <s v="Anna's Decorations, Ltd"/>
    <s v="02 9936 8555"/>
    <s v="201 Miller Street"/>
    <s v="Level 15"/>
    <x v="3"/>
    <x v="2"/>
    <n v="2060"/>
    <x v="0"/>
    <s v="APAC"/>
    <s v="O'Hara"/>
    <s v="Anna"/>
    <s v="Medium"/>
  </r>
  <r>
    <n v="10127"/>
    <x v="9"/>
    <n v="100"/>
    <n v="2"/>
    <x v="19"/>
    <x v="11"/>
    <x v="1"/>
    <x v="7"/>
    <x v="7"/>
    <s v="Muscle Machine Inc"/>
    <n v="2125557413"/>
    <s v="4092 Furth Circle"/>
    <s v="Suite 400"/>
    <x v="1"/>
    <x v="1"/>
    <n v="10022"/>
    <x v="1"/>
    <s v="NA"/>
    <s v="Young"/>
    <s v="Jeff"/>
    <s v="Large"/>
  </r>
  <r>
    <n v="10270"/>
    <x v="16"/>
    <n v="100"/>
    <n v="6"/>
    <x v="20"/>
    <x v="4"/>
    <x v="2"/>
    <x v="4"/>
    <x v="8"/>
    <s v="Souveniers And Things Co."/>
    <s v="+61 2 9495 8555"/>
    <s v="Monitor Money Building, 815 Pacific Hwy"/>
    <s v="Level 6"/>
    <x v="2"/>
    <x v="2"/>
    <n v="2067"/>
    <x v="0"/>
    <s v="APAC"/>
    <s v="Huxley"/>
    <s v="Adrian"/>
    <s v="Medium"/>
  </r>
  <r>
    <n v="10347"/>
    <x v="6"/>
    <n v="100"/>
    <n v="3"/>
    <x v="21"/>
    <x v="5"/>
    <x v="2"/>
    <x v="4"/>
    <x v="8"/>
    <s v="Australian Collectors, Co."/>
    <s v="03 9520 4555"/>
    <s v="636 St Kilda Road"/>
    <s v="Level 3"/>
    <x v="0"/>
    <x v="0"/>
    <n v="3004"/>
    <x v="0"/>
    <s v="APAC"/>
    <s v="Ferguson"/>
    <s v="Peter"/>
    <s v="Medium"/>
  </r>
  <r>
    <n v="10370"/>
    <x v="10"/>
    <n v="100"/>
    <n v="8"/>
    <x v="22"/>
    <x v="9"/>
    <x v="2"/>
    <x v="4"/>
    <x v="8"/>
    <s v="Anna's Decorations, Ltd"/>
    <s v="02 9936 8555"/>
    <s v="201 Miller Street"/>
    <s v="Level 15"/>
    <x v="3"/>
    <x v="2"/>
    <n v="2060"/>
    <x v="0"/>
    <s v="APAC"/>
    <s v="O'Hara"/>
    <s v="Anna"/>
    <s v="Large"/>
  </r>
  <r>
    <n v="10391"/>
    <x v="11"/>
    <n v="63.2"/>
    <n v="9"/>
    <x v="23"/>
    <x v="6"/>
    <x v="2"/>
    <x v="4"/>
    <x v="8"/>
    <s v="Anna's Decorations, Ltd"/>
    <s v="02 9936 8555"/>
    <s v="201 Miller Street"/>
    <s v="Level 15"/>
    <x v="3"/>
    <x v="2"/>
    <n v="2060"/>
    <x v="0"/>
    <s v="APAC"/>
    <s v="O'Hara"/>
    <s v="Anna"/>
    <s v="Small"/>
  </r>
  <r>
    <n v="10169"/>
    <x v="15"/>
    <n v="100"/>
    <n v="13"/>
    <x v="24"/>
    <x v="10"/>
    <x v="0"/>
    <x v="8"/>
    <x v="9"/>
    <s v="Anna's Decorations, Ltd"/>
    <s v="02 9936 8555"/>
    <s v="201 Miller Street"/>
    <s v="Level 15"/>
    <x v="3"/>
    <x v="2"/>
    <n v="2060"/>
    <x v="0"/>
    <s v="APAC"/>
    <s v="O'Hara"/>
    <s v="Anna"/>
    <s v="Medium"/>
  </r>
  <r>
    <n v="10237"/>
    <x v="13"/>
    <n v="100"/>
    <n v="6"/>
    <x v="25"/>
    <x v="1"/>
    <x v="0"/>
    <x v="8"/>
    <x v="9"/>
    <s v="Vitachrome Inc."/>
    <n v="2125551500"/>
    <s v="2678 Kingston Rd."/>
    <s v="Suite 101"/>
    <x v="1"/>
    <x v="1"/>
    <n v="10022"/>
    <x v="1"/>
    <s v="NA"/>
    <s v="Frick"/>
    <s v="Michael"/>
    <s v="Medium"/>
  </r>
  <r>
    <n v="10319"/>
    <x v="4"/>
    <n v="100"/>
    <n v="9"/>
    <x v="26"/>
    <x v="12"/>
    <x v="0"/>
    <x v="8"/>
    <x v="9"/>
    <s v="Microscale Inc."/>
    <n v="2125551957"/>
    <s v="5290 North Pendale Street"/>
    <s v="Suite 200"/>
    <x v="1"/>
    <x v="1"/>
    <n v="10022"/>
    <x v="1"/>
    <s v="NA"/>
    <s v="Kuo"/>
    <s v="Kee"/>
    <s v="Medium"/>
  </r>
  <r>
    <n v="10127"/>
    <x v="9"/>
    <n v="100"/>
    <n v="3"/>
    <x v="27"/>
    <x v="11"/>
    <x v="1"/>
    <x v="9"/>
    <x v="10"/>
    <s v="Muscle Machine Inc"/>
    <n v="2125557413"/>
    <s v="4092 Furth Circle"/>
    <s v="Suite 400"/>
    <x v="1"/>
    <x v="1"/>
    <n v="10022"/>
    <x v="1"/>
    <s v="NA"/>
    <s v="Young"/>
    <s v="Jeff"/>
    <s v="Large"/>
  </r>
  <r>
    <n v="10324"/>
    <x v="14"/>
    <n v="54.33"/>
    <n v="1"/>
    <x v="28"/>
    <x v="13"/>
    <x v="1"/>
    <x v="9"/>
    <x v="10"/>
    <s v="Vitachrome Inc."/>
    <n v="2125551500"/>
    <s v="2678 Kingston Rd."/>
    <s v="Suite 101"/>
    <x v="1"/>
    <x v="1"/>
    <n v="10022"/>
    <x v="1"/>
    <s v="NA"/>
    <s v="Frick"/>
    <s v="Michael"/>
    <s v="Small"/>
  </r>
  <r>
    <n v="10127"/>
    <x v="17"/>
    <n v="100"/>
    <n v="1"/>
    <x v="29"/>
    <x v="11"/>
    <x v="1"/>
    <x v="10"/>
    <x v="11"/>
    <s v="Muscle Machine Inc"/>
    <n v="2125557413"/>
    <s v="4092 Furth Circle"/>
    <s v="Suite 400"/>
    <x v="1"/>
    <x v="1"/>
    <n v="10022"/>
    <x v="1"/>
    <s v="NA"/>
    <s v="Young"/>
    <s v="Jeff"/>
    <s v="Large"/>
  </r>
  <r>
    <n v="10349"/>
    <x v="8"/>
    <n v="100"/>
    <n v="10"/>
    <x v="30"/>
    <x v="14"/>
    <x v="1"/>
    <x v="10"/>
    <x v="11"/>
    <s v="Muscle Machine Inc"/>
    <n v="2125557413"/>
    <s v="4092 Furth Circle"/>
    <s v="Suite 400"/>
    <x v="1"/>
    <x v="1"/>
    <n v="10022"/>
    <x v="1"/>
    <s v="NA"/>
    <s v="Young"/>
    <s v="Jeff"/>
    <s v="Medium"/>
  </r>
  <r>
    <n v="10169"/>
    <x v="18"/>
    <n v="63.84"/>
    <n v="3"/>
    <x v="31"/>
    <x v="10"/>
    <x v="1"/>
    <x v="11"/>
    <x v="12"/>
    <s v="Anna's Decorations, Ltd"/>
    <s v="02 9936 8555"/>
    <s v="201 Miller Street"/>
    <s v="Level 15"/>
    <x v="3"/>
    <x v="2"/>
    <n v="2060"/>
    <x v="0"/>
    <s v="APAC"/>
    <s v="O'Hara"/>
    <s v="Anna"/>
    <s v="Small"/>
  </r>
  <r>
    <n v="10115"/>
    <x v="9"/>
    <n v="100"/>
    <n v="5"/>
    <x v="32"/>
    <x v="15"/>
    <x v="2"/>
    <x v="2"/>
    <x v="13"/>
    <s v="Classic Legends Inc."/>
    <n v="2125558493"/>
    <s v="5905 Pompton St."/>
    <s v="Suite 750"/>
    <x v="1"/>
    <x v="1"/>
    <n v="10022"/>
    <x v="1"/>
    <s v="NA"/>
    <s v="Hernandez"/>
    <s v="Maria"/>
    <s v="Medium"/>
  </r>
  <r>
    <n v="10127"/>
    <x v="5"/>
    <n v="100"/>
    <n v="11"/>
    <x v="33"/>
    <x v="11"/>
    <x v="2"/>
    <x v="2"/>
    <x v="13"/>
    <s v="Muscle Machine Inc"/>
    <n v="2125557413"/>
    <s v="4092 Furth Circle"/>
    <s v="Suite 400"/>
    <x v="1"/>
    <x v="1"/>
    <n v="10022"/>
    <x v="1"/>
    <s v="NA"/>
    <s v="Young"/>
    <s v="Jeff"/>
    <s v="Small"/>
  </r>
  <r>
    <n v="10324"/>
    <x v="8"/>
    <n v="58.38"/>
    <n v="7"/>
    <x v="34"/>
    <x v="13"/>
    <x v="2"/>
    <x v="2"/>
    <x v="13"/>
    <s v="Vitachrome Inc."/>
    <n v="2125551500"/>
    <s v="2678 Kingston Rd."/>
    <s v="Suite 101"/>
    <x v="1"/>
    <x v="1"/>
    <n v="10022"/>
    <x v="1"/>
    <s v="NA"/>
    <s v="Frick"/>
    <s v="Michael"/>
    <s v="Small"/>
  </r>
  <r>
    <n v="10349"/>
    <x v="19"/>
    <n v="100"/>
    <n v="9"/>
    <x v="35"/>
    <x v="14"/>
    <x v="2"/>
    <x v="2"/>
    <x v="13"/>
    <s v="Muscle Machine Inc"/>
    <n v="2125557413"/>
    <s v="4092 Furth Circle"/>
    <s v="Suite 400"/>
    <x v="1"/>
    <x v="1"/>
    <n v="10022"/>
    <x v="1"/>
    <s v="NA"/>
    <s v="Young"/>
    <s v="Jeff"/>
    <s v="Medium"/>
  </r>
  <r>
    <n v="10270"/>
    <x v="20"/>
    <n v="96.84"/>
    <n v="8"/>
    <x v="36"/>
    <x v="4"/>
    <x v="2"/>
    <x v="12"/>
    <x v="14"/>
    <s v="Souveniers And Things Co."/>
    <s v="+61 2 9495 8555"/>
    <s v="Monitor Money Building, 815 Pacific Hwy"/>
    <s v="Level 6"/>
    <x v="2"/>
    <x v="2"/>
    <n v="2067"/>
    <x v="0"/>
    <s v="APAC"/>
    <s v="Huxley"/>
    <s v="Adrian"/>
    <s v="Medium"/>
  </r>
  <r>
    <n v="10347"/>
    <x v="17"/>
    <n v="49.6"/>
    <n v="5"/>
    <x v="37"/>
    <x v="5"/>
    <x v="2"/>
    <x v="12"/>
    <x v="14"/>
    <s v="Australian Collectors, Co."/>
    <s v="03 9520 4555"/>
    <s v="636 St Kilda Road"/>
    <s v="Level 3"/>
    <x v="0"/>
    <x v="0"/>
    <n v="3004"/>
    <x v="0"/>
    <s v="APAC"/>
    <s v="Ferguson"/>
    <s v="Peter"/>
    <s v="Small"/>
  </r>
  <r>
    <n v="10370"/>
    <x v="14"/>
    <n v="100"/>
    <n v="1"/>
    <x v="38"/>
    <x v="9"/>
    <x v="2"/>
    <x v="12"/>
    <x v="14"/>
    <s v="Anna's Decorations, Ltd"/>
    <s v="02 9936 8555"/>
    <s v="201 Miller Street"/>
    <s v="Level 15"/>
    <x v="3"/>
    <x v="2"/>
    <n v="2060"/>
    <x v="0"/>
    <s v="APAC"/>
    <s v="O'Hara"/>
    <s v="Anna"/>
    <s v="Medium"/>
  </r>
  <r>
    <n v="10391"/>
    <x v="6"/>
    <n v="85.1"/>
    <n v="10"/>
    <x v="39"/>
    <x v="6"/>
    <x v="2"/>
    <x v="12"/>
    <x v="14"/>
    <s v="Anna's Decorations, Ltd"/>
    <s v="02 9936 8555"/>
    <s v="201 Miller Street"/>
    <s v="Level 15"/>
    <x v="3"/>
    <x v="2"/>
    <n v="2060"/>
    <x v="0"/>
    <s v="APAC"/>
    <s v="O'Hara"/>
    <s v="Anna"/>
    <s v="Small"/>
  </r>
  <r>
    <n v="10148"/>
    <x v="1"/>
    <n v="100"/>
    <n v="13"/>
    <x v="40"/>
    <x v="16"/>
    <x v="1"/>
    <x v="13"/>
    <x v="15"/>
    <s v="Anna's Decorations, Ltd"/>
    <s v="02 9936 8555"/>
    <s v="201 Miller Street"/>
    <s v="Level 15"/>
    <x v="3"/>
    <x v="2"/>
    <n v="2060"/>
    <x v="0"/>
    <s v="APAC"/>
    <s v="O'Hara"/>
    <s v="Anna"/>
    <s v="Small"/>
  </r>
  <r>
    <n v="10204"/>
    <x v="17"/>
    <n v="100"/>
    <n v="17"/>
    <x v="41"/>
    <x v="17"/>
    <x v="1"/>
    <x v="13"/>
    <x v="15"/>
    <s v="Muscle Machine Inc"/>
    <n v="2125557413"/>
    <s v="4092 Furth Circle"/>
    <s v="Suite 400"/>
    <x v="1"/>
    <x v="1"/>
    <n v="10022"/>
    <x v="1"/>
    <s v="NA"/>
    <s v="Young"/>
    <s v="Jeff"/>
    <s v="Medium"/>
  </r>
  <r>
    <n v="10342"/>
    <x v="21"/>
    <n v="100"/>
    <n v="2"/>
    <x v="42"/>
    <x v="18"/>
    <x v="1"/>
    <x v="13"/>
    <x v="15"/>
    <s v="Australian Collectors, Co."/>
    <s v="03 9520 4555"/>
    <s v="636 St Kilda Road"/>
    <s v="Level 3"/>
    <x v="0"/>
    <x v="0"/>
    <n v="3004"/>
    <x v="0"/>
    <s v="APAC"/>
    <s v="Ferguson"/>
    <s v="Peter"/>
    <s v="Medium"/>
  </r>
  <r>
    <n v="10102"/>
    <x v="11"/>
    <n v="100"/>
    <n v="2"/>
    <x v="43"/>
    <x v="19"/>
    <x v="3"/>
    <x v="14"/>
    <x v="16"/>
    <s v="Vitachrome Inc."/>
    <n v="2125551500"/>
    <s v="2678 Kingston Rd."/>
    <s v="Suite 101"/>
    <x v="1"/>
    <x v="1"/>
    <n v="10022"/>
    <x v="1"/>
    <s v="NA"/>
    <s v="Frick"/>
    <s v="Michael"/>
    <s v="Medium"/>
  </r>
  <r>
    <n v="10125"/>
    <x v="13"/>
    <n v="100"/>
    <n v="1"/>
    <x v="44"/>
    <x v="20"/>
    <x v="3"/>
    <x v="14"/>
    <x v="16"/>
    <s v="Australian Collectors, Co."/>
    <s v="03 9520 4555"/>
    <s v="636 St Kilda Road"/>
    <s v="Level 3"/>
    <x v="0"/>
    <x v="0"/>
    <n v="3004"/>
    <x v="0"/>
    <s v="APAC"/>
    <s v="Ferguson"/>
    <s v="Peter"/>
    <s v="Medium"/>
  </r>
  <r>
    <n v="10139"/>
    <x v="22"/>
    <n v="100"/>
    <n v="7"/>
    <x v="45"/>
    <x v="21"/>
    <x v="3"/>
    <x v="14"/>
    <x v="16"/>
    <s v="Souveniers And Things Co."/>
    <s v="+61 2 9495 8555"/>
    <s v="Monitor Money Building, 815 Pacific Hwy"/>
    <s v="Level 6"/>
    <x v="2"/>
    <x v="2"/>
    <n v="2067"/>
    <x v="0"/>
    <s v="APAC"/>
    <s v="Huxley"/>
    <s v="Adrian"/>
    <s v="Medium"/>
  </r>
  <r>
    <n v="10391"/>
    <x v="15"/>
    <n v="100"/>
    <n v="2"/>
    <x v="46"/>
    <x v="6"/>
    <x v="3"/>
    <x v="14"/>
    <x v="16"/>
    <s v="Anna's Decorations, Ltd"/>
    <s v="02 9936 8555"/>
    <s v="201 Miller Street"/>
    <s v="Level 15"/>
    <x v="3"/>
    <x v="2"/>
    <n v="2060"/>
    <x v="0"/>
    <s v="APAC"/>
    <s v="O'Hara"/>
    <s v="Anna"/>
    <s v="Medium"/>
  </r>
  <r>
    <n v="10102"/>
    <x v="23"/>
    <n v="50.14"/>
    <n v="1"/>
    <x v="47"/>
    <x v="19"/>
    <x v="3"/>
    <x v="15"/>
    <x v="17"/>
    <s v="Vitachrome Inc."/>
    <n v="2125551500"/>
    <s v="2678 Kingston Rd."/>
    <s v="Suite 101"/>
    <x v="1"/>
    <x v="1"/>
    <n v="10022"/>
    <x v="1"/>
    <s v="NA"/>
    <s v="Frick"/>
    <s v="Michael"/>
    <s v="Small"/>
  </r>
  <r>
    <n v="10139"/>
    <x v="10"/>
    <n v="43.13"/>
    <n v="6"/>
    <x v="48"/>
    <x v="21"/>
    <x v="3"/>
    <x v="15"/>
    <x v="17"/>
    <s v="Souveniers And Things Co."/>
    <s v="+61 2 9495 8555"/>
    <s v="Monitor Money Building, 815 Pacific Hwy"/>
    <s v="Level 6"/>
    <x v="2"/>
    <x v="2"/>
    <n v="2067"/>
    <x v="0"/>
    <s v="APAC"/>
    <s v="Huxley"/>
    <s v="Adrian"/>
    <s v="Small"/>
  </r>
  <r>
    <n v="10347"/>
    <x v="3"/>
    <n v="58.95"/>
    <n v="7"/>
    <x v="49"/>
    <x v="5"/>
    <x v="3"/>
    <x v="15"/>
    <x v="17"/>
    <s v="Australian Collectors, Co."/>
    <s v="03 9520 4555"/>
    <s v="636 St Kilda Road"/>
    <s v="Level 3"/>
    <x v="0"/>
    <x v="0"/>
    <n v="3004"/>
    <x v="0"/>
    <s v="APAC"/>
    <s v="Ferguson"/>
    <s v="Peter"/>
    <s v="Small"/>
  </r>
  <r>
    <n v="10391"/>
    <x v="17"/>
    <n v="100"/>
    <n v="3"/>
    <x v="50"/>
    <x v="6"/>
    <x v="3"/>
    <x v="15"/>
    <x v="17"/>
    <s v="Anna's Decorations, Ltd"/>
    <s v="02 9936 8555"/>
    <s v="201 Miller Street"/>
    <s v="Level 15"/>
    <x v="3"/>
    <x v="2"/>
    <n v="2060"/>
    <x v="0"/>
    <s v="APAC"/>
    <s v="O'Hara"/>
    <s v="Anna"/>
    <s v="Medium"/>
  </r>
  <r>
    <n v="10148"/>
    <x v="7"/>
    <n v="100"/>
    <n v="9"/>
    <x v="51"/>
    <x v="16"/>
    <x v="1"/>
    <x v="16"/>
    <x v="18"/>
    <s v="Anna's Decorations, Ltd"/>
    <s v="02 9936 8555"/>
    <s v="201 Miller Street"/>
    <s v="Level 15"/>
    <x v="3"/>
    <x v="2"/>
    <n v="2060"/>
    <x v="0"/>
    <s v="APAC"/>
    <s v="O'Hara"/>
    <s v="Anna"/>
    <s v="Medium"/>
  </r>
  <r>
    <n v="10204"/>
    <x v="21"/>
    <n v="100"/>
    <n v="13"/>
    <x v="52"/>
    <x v="17"/>
    <x v="1"/>
    <x v="16"/>
    <x v="18"/>
    <s v="Muscle Machine Inc"/>
    <n v="2125557413"/>
    <s v="4092 Furth Circle"/>
    <s v="Suite 400"/>
    <x v="1"/>
    <x v="1"/>
    <n v="10022"/>
    <x v="1"/>
    <s v="NA"/>
    <s v="Young"/>
    <s v="Jeff"/>
    <s v="Medium"/>
  </r>
  <r>
    <n v="10204"/>
    <x v="24"/>
    <n v="100"/>
    <n v="4"/>
    <x v="53"/>
    <x v="17"/>
    <x v="3"/>
    <x v="17"/>
    <x v="19"/>
    <s v="Muscle Machine Inc"/>
    <n v="2125557413"/>
    <s v="4092 Furth Circle"/>
    <s v="Suite 400"/>
    <x v="1"/>
    <x v="1"/>
    <n v="10022"/>
    <x v="1"/>
    <s v="NA"/>
    <s v="Young"/>
    <s v="Jeff"/>
    <s v="Medium"/>
  </r>
  <r>
    <n v="10420"/>
    <x v="0"/>
    <n v="100"/>
    <n v="5"/>
    <x v="54"/>
    <x v="22"/>
    <x v="3"/>
    <x v="17"/>
    <x v="19"/>
    <s v="Souveniers And Things Co."/>
    <s v="+61 2 9495 8555"/>
    <s v="Monitor Money Building, 815 Pacific Hwy"/>
    <s v="Level 6"/>
    <x v="2"/>
    <x v="2"/>
    <n v="2067"/>
    <x v="0"/>
    <s v="APAC"/>
    <s v="Huxley"/>
    <s v="Adrian"/>
    <s v="Medium"/>
  </r>
  <r>
    <n v="10342"/>
    <x v="25"/>
    <n v="65.45"/>
    <n v="1"/>
    <x v="55"/>
    <x v="18"/>
    <x v="1"/>
    <x v="18"/>
    <x v="20"/>
    <s v="Australian Collectors, Co."/>
    <s v="03 9520 4555"/>
    <s v="636 St Kilda Road"/>
    <s v="Level 3"/>
    <x v="0"/>
    <x v="0"/>
    <n v="3004"/>
    <x v="0"/>
    <s v="APAC"/>
    <s v="Ferguson"/>
    <s v="Peter"/>
    <s v="Medium"/>
  </r>
  <r>
    <n v="10148"/>
    <x v="12"/>
    <n v="100"/>
    <n v="12"/>
    <x v="56"/>
    <x v="16"/>
    <x v="1"/>
    <x v="19"/>
    <x v="21"/>
    <s v="Anna's Decorations, Ltd"/>
    <s v="02 9936 8555"/>
    <s v="201 Miller Street"/>
    <s v="Level 15"/>
    <x v="3"/>
    <x v="2"/>
    <n v="2060"/>
    <x v="0"/>
    <s v="APAC"/>
    <s v="O'Hara"/>
    <s v="Anna"/>
    <s v="Medium"/>
  </r>
  <r>
    <n v="10204"/>
    <x v="26"/>
    <n v="100"/>
    <n v="16"/>
    <x v="57"/>
    <x v="17"/>
    <x v="1"/>
    <x v="19"/>
    <x v="21"/>
    <s v="Muscle Machine Inc"/>
    <n v="2125557413"/>
    <s v="4092 Furth Circle"/>
    <s v="Suite 400"/>
    <x v="1"/>
    <x v="1"/>
    <n v="10022"/>
    <x v="1"/>
    <s v="NA"/>
    <s v="Young"/>
    <s v="Jeff"/>
    <s v="Medium"/>
  </r>
  <r>
    <n v="10342"/>
    <x v="27"/>
    <n v="100"/>
    <n v="3"/>
    <x v="58"/>
    <x v="18"/>
    <x v="1"/>
    <x v="19"/>
    <x v="21"/>
    <s v="Australian Collectors, Co."/>
    <s v="03 9520 4555"/>
    <s v="636 St Kilda Road"/>
    <s v="Level 3"/>
    <x v="0"/>
    <x v="0"/>
    <n v="3004"/>
    <x v="0"/>
    <s v="APAC"/>
    <s v="Ferguson"/>
    <s v="Peter"/>
    <s v="Medium"/>
  </r>
  <r>
    <n v="10115"/>
    <x v="9"/>
    <n v="100"/>
    <n v="4"/>
    <x v="59"/>
    <x v="15"/>
    <x v="1"/>
    <x v="20"/>
    <x v="22"/>
    <s v="Classic Legends Inc."/>
    <n v="2125558493"/>
    <s v="5905 Pompton St."/>
    <s v="Suite 750"/>
    <x v="1"/>
    <x v="1"/>
    <n v="10022"/>
    <x v="1"/>
    <s v="NA"/>
    <s v="Hernandez"/>
    <s v="Maria"/>
    <s v="Large"/>
  </r>
  <r>
    <n v="10127"/>
    <x v="28"/>
    <n v="100"/>
    <n v="10"/>
    <x v="60"/>
    <x v="11"/>
    <x v="1"/>
    <x v="20"/>
    <x v="22"/>
    <s v="Muscle Machine Inc"/>
    <n v="2125557413"/>
    <s v="4092 Furth Circle"/>
    <s v="Suite 400"/>
    <x v="1"/>
    <x v="1"/>
    <n v="10022"/>
    <x v="1"/>
    <s v="NA"/>
    <s v="Young"/>
    <s v="Jeff"/>
    <s v="Large"/>
  </r>
  <r>
    <n v="10324"/>
    <x v="7"/>
    <n v="100"/>
    <n v="8"/>
    <x v="61"/>
    <x v="13"/>
    <x v="1"/>
    <x v="20"/>
    <x v="22"/>
    <s v="Vitachrome Inc."/>
    <n v="2125551500"/>
    <s v="2678 Kingston Rd."/>
    <s v="Suite 101"/>
    <x v="1"/>
    <x v="1"/>
    <n v="10022"/>
    <x v="1"/>
    <s v="NA"/>
    <s v="Frick"/>
    <s v="Michael"/>
    <s v="Large"/>
  </r>
  <r>
    <n v="10349"/>
    <x v="26"/>
    <n v="100"/>
    <n v="8"/>
    <x v="62"/>
    <x v="14"/>
    <x v="1"/>
    <x v="20"/>
    <x v="22"/>
    <s v="Muscle Machine Inc"/>
    <n v="2125557413"/>
    <s v="4092 Furth Circle"/>
    <s v="Suite 400"/>
    <x v="1"/>
    <x v="1"/>
    <n v="10022"/>
    <x v="1"/>
    <s v="NA"/>
    <s v="Young"/>
    <s v="Jeff"/>
    <s v="Medium"/>
  </r>
  <r>
    <n v="10204"/>
    <x v="1"/>
    <n v="71.44"/>
    <n v="3"/>
    <x v="63"/>
    <x v="17"/>
    <x v="3"/>
    <x v="21"/>
    <x v="23"/>
    <s v="Muscle Machine Inc"/>
    <n v="2125557413"/>
    <s v="4092 Furth Circle"/>
    <s v="Suite 400"/>
    <x v="1"/>
    <x v="1"/>
    <n v="10022"/>
    <x v="1"/>
    <s v="NA"/>
    <s v="Young"/>
    <s v="Jeff"/>
    <s v="Small"/>
  </r>
  <r>
    <n v="10420"/>
    <x v="18"/>
    <n v="63.57"/>
    <n v="4"/>
    <x v="64"/>
    <x v="22"/>
    <x v="3"/>
    <x v="21"/>
    <x v="23"/>
    <s v="Souveniers And Things Co."/>
    <s v="+61 2 9495 8555"/>
    <s v="Monitor Money Building, 815 Pacific Hwy"/>
    <s v="Level 6"/>
    <x v="2"/>
    <x v="2"/>
    <n v="2067"/>
    <x v="0"/>
    <s v="APAC"/>
    <s v="Huxley"/>
    <s v="Adrian"/>
    <s v="Small"/>
  </r>
  <r>
    <n v="10127"/>
    <x v="28"/>
    <n v="100"/>
    <n v="14"/>
    <x v="65"/>
    <x v="11"/>
    <x v="2"/>
    <x v="22"/>
    <x v="24"/>
    <s v="Muscle Machine Inc"/>
    <n v="2125557413"/>
    <s v="4092 Furth Circle"/>
    <s v="Suite 400"/>
    <x v="1"/>
    <x v="1"/>
    <n v="10022"/>
    <x v="1"/>
    <s v="NA"/>
    <s v="Young"/>
    <s v="Jeff"/>
    <s v="Medium"/>
  </r>
  <r>
    <n v="10324"/>
    <x v="24"/>
    <n v="37.479999999999997"/>
    <n v="10"/>
    <x v="66"/>
    <x v="13"/>
    <x v="2"/>
    <x v="22"/>
    <x v="24"/>
    <s v="Vitachrome Inc."/>
    <n v="2125551500"/>
    <s v="2678 Kingston Rd."/>
    <s v="Suite 101"/>
    <x v="1"/>
    <x v="1"/>
    <n v="10022"/>
    <x v="1"/>
    <s v="NA"/>
    <s v="Frick"/>
    <s v="Michael"/>
    <s v="Small"/>
  </r>
  <r>
    <n v="10349"/>
    <x v="26"/>
    <n v="100"/>
    <n v="7"/>
    <x v="67"/>
    <x v="14"/>
    <x v="2"/>
    <x v="22"/>
    <x v="24"/>
    <s v="Muscle Machine Inc"/>
    <n v="2125557413"/>
    <s v="4092 Furth Circle"/>
    <s v="Suite 400"/>
    <x v="1"/>
    <x v="1"/>
    <n v="10022"/>
    <x v="1"/>
    <s v="NA"/>
    <s v="Young"/>
    <s v="Jeff"/>
    <s v="Medium"/>
  </r>
  <r>
    <n v="10370"/>
    <x v="27"/>
    <n v="100"/>
    <n v="5"/>
    <x v="68"/>
    <x v="9"/>
    <x v="2"/>
    <x v="22"/>
    <x v="24"/>
    <s v="Anna's Decorations, Ltd"/>
    <s v="02 9936 8555"/>
    <s v="201 Miller Street"/>
    <s v="Level 15"/>
    <x v="3"/>
    <x v="2"/>
    <n v="2060"/>
    <x v="0"/>
    <s v="APAC"/>
    <s v="O'Hara"/>
    <s v="Anna"/>
    <s v="Medium"/>
  </r>
  <r>
    <n v="10204"/>
    <x v="8"/>
    <n v="100"/>
    <n v="1"/>
    <x v="69"/>
    <x v="17"/>
    <x v="3"/>
    <x v="23"/>
    <x v="25"/>
    <s v="Muscle Machine Inc"/>
    <n v="2125557413"/>
    <s v="4092 Furth Circle"/>
    <s v="Suite 400"/>
    <x v="1"/>
    <x v="1"/>
    <n v="10022"/>
    <x v="1"/>
    <s v="NA"/>
    <s v="Young"/>
    <s v="Jeff"/>
    <s v="Medium"/>
  </r>
  <r>
    <n v="10420"/>
    <x v="28"/>
    <n v="100"/>
    <n v="2"/>
    <x v="70"/>
    <x v="22"/>
    <x v="3"/>
    <x v="23"/>
    <x v="25"/>
    <s v="Souveniers And Things Co."/>
    <s v="+61 2 9495 8555"/>
    <s v="Monitor Money Building, 815 Pacific Hwy"/>
    <s v="Level 6"/>
    <x v="2"/>
    <x v="2"/>
    <n v="2067"/>
    <x v="0"/>
    <s v="APAC"/>
    <s v="Huxley"/>
    <s v="Adrian"/>
    <s v="Medium"/>
  </r>
  <r>
    <n v="10347"/>
    <x v="29"/>
    <n v="100"/>
    <n v="8"/>
    <x v="71"/>
    <x v="5"/>
    <x v="2"/>
    <x v="21"/>
    <x v="26"/>
    <s v="Australian Collectors, Co."/>
    <s v="03 9520 4555"/>
    <s v="636 St Kilda Road"/>
    <s v="Level 3"/>
    <x v="0"/>
    <x v="0"/>
    <n v="3004"/>
    <x v="0"/>
    <s v="APAC"/>
    <s v="Ferguson"/>
    <s v="Peter"/>
    <s v="Medium"/>
  </r>
  <r>
    <n v="10370"/>
    <x v="27"/>
    <n v="96.86"/>
    <n v="7"/>
    <x v="72"/>
    <x v="9"/>
    <x v="2"/>
    <x v="21"/>
    <x v="26"/>
    <s v="Anna's Decorations, Ltd"/>
    <s v="02 9936 8555"/>
    <s v="201 Miller Street"/>
    <s v="Level 15"/>
    <x v="3"/>
    <x v="2"/>
    <n v="2060"/>
    <x v="0"/>
    <s v="APAC"/>
    <s v="O'Hara"/>
    <s v="Anna"/>
    <s v="Small"/>
  </r>
  <r>
    <n v="10391"/>
    <x v="30"/>
    <n v="38.5"/>
    <n v="5"/>
    <x v="73"/>
    <x v="6"/>
    <x v="2"/>
    <x v="21"/>
    <x v="26"/>
    <s v="Anna's Decorations, Ltd"/>
    <s v="02 9936 8555"/>
    <s v="201 Miller Street"/>
    <s v="Level 15"/>
    <x v="3"/>
    <x v="2"/>
    <n v="2060"/>
    <x v="0"/>
    <s v="APAC"/>
    <s v="O'Hara"/>
    <s v="Anna"/>
    <s v="Small"/>
  </r>
  <r>
    <n v="10120"/>
    <x v="6"/>
    <n v="71.81"/>
    <n v="8"/>
    <x v="74"/>
    <x v="7"/>
    <x v="4"/>
    <x v="24"/>
    <x v="27"/>
    <s v="Australian Collectors, Co."/>
    <s v="03 9520 4555"/>
    <s v="636 St Kilda Road"/>
    <s v="Level 3"/>
    <x v="0"/>
    <x v="0"/>
    <n v="3004"/>
    <x v="0"/>
    <s v="APAC"/>
    <s v="Ferguson"/>
    <s v="Peter"/>
    <s v="Small"/>
  </r>
  <r>
    <n v="10223"/>
    <x v="7"/>
    <n v="100"/>
    <n v="9"/>
    <x v="75"/>
    <x v="0"/>
    <x v="4"/>
    <x v="24"/>
    <x v="27"/>
    <s v="Australian Collectors, Co."/>
    <s v="03 9520 4555"/>
    <s v="636 St Kilda Road"/>
    <s v="Level 3"/>
    <x v="0"/>
    <x v="0"/>
    <n v="3004"/>
    <x v="0"/>
    <s v="APAC"/>
    <s v="Ferguson"/>
    <s v="Peter"/>
    <s v="Medium"/>
  </r>
  <r>
    <n v="10120"/>
    <x v="9"/>
    <n v="58.15"/>
    <n v="4"/>
    <x v="76"/>
    <x v="7"/>
    <x v="0"/>
    <x v="21"/>
    <x v="28"/>
    <s v="Australian Collectors, Co."/>
    <s v="03 9520 4555"/>
    <s v="636 St Kilda Road"/>
    <s v="Level 3"/>
    <x v="0"/>
    <x v="0"/>
    <n v="3004"/>
    <x v="0"/>
    <s v="APAC"/>
    <s v="Ferguson"/>
    <s v="Peter"/>
    <s v="Small"/>
  </r>
  <r>
    <n v="10223"/>
    <x v="16"/>
    <n v="60.57"/>
    <n v="5"/>
    <x v="77"/>
    <x v="0"/>
    <x v="0"/>
    <x v="21"/>
    <x v="28"/>
    <s v="Australian Collectors, Co."/>
    <s v="03 9520 4555"/>
    <s v="636 St Kilda Road"/>
    <s v="Level 3"/>
    <x v="0"/>
    <x v="0"/>
    <n v="3004"/>
    <x v="0"/>
    <s v="APAC"/>
    <s v="Ferguson"/>
    <s v="Peter"/>
    <s v="Small"/>
  </r>
  <r>
    <n v="10125"/>
    <x v="31"/>
    <n v="100"/>
    <n v="2"/>
    <x v="78"/>
    <x v="20"/>
    <x v="3"/>
    <x v="25"/>
    <x v="29"/>
    <s v="Australian Collectors, Co."/>
    <s v="03 9520 4555"/>
    <s v="636 St Kilda Road"/>
    <s v="Level 3"/>
    <x v="0"/>
    <x v="0"/>
    <n v="3004"/>
    <x v="0"/>
    <s v="APAC"/>
    <s v="Ferguson"/>
    <s v="Peter"/>
    <s v="Medium"/>
  </r>
  <r>
    <n v="10139"/>
    <x v="23"/>
    <n v="100"/>
    <n v="8"/>
    <x v="79"/>
    <x v="21"/>
    <x v="3"/>
    <x v="25"/>
    <x v="29"/>
    <s v="Souveniers And Things Co."/>
    <s v="+61 2 9495 8555"/>
    <s v="Monitor Money Building, 815 Pacific Hwy"/>
    <s v="Level 6"/>
    <x v="2"/>
    <x v="2"/>
    <n v="2067"/>
    <x v="0"/>
    <s v="APAC"/>
    <s v="Huxley"/>
    <s v="Adrian"/>
    <s v="Large"/>
  </r>
  <r>
    <n v="10347"/>
    <x v="3"/>
    <n v="100"/>
    <n v="6"/>
    <x v="80"/>
    <x v="5"/>
    <x v="3"/>
    <x v="25"/>
    <x v="29"/>
    <s v="Australian Collectors, Co."/>
    <s v="03 9520 4555"/>
    <s v="636 St Kilda Road"/>
    <s v="Level 3"/>
    <x v="0"/>
    <x v="0"/>
    <n v="3004"/>
    <x v="0"/>
    <s v="APAC"/>
    <s v="Ferguson"/>
    <s v="Peter"/>
    <s v="Medium"/>
  </r>
  <r>
    <n v="10148"/>
    <x v="14"/>
    <n v="100"/>
    <n v="10"/>
    <x v="81"/>
    <x v="16"/>
    <x v="1"/>
    <x v="26"/>
    <x v="30"/>
    <s v="Anna's Decorations, Ltd"/>
    <s v="02 9936 8555"/>
    <s v="201 Miller Street"/>
    <s v="Level 15"/>
    <x v="3"/>
    <x v="2"/>
    <n v="2060"/>
    <x v="0"/>
    <s v="APAC"/>
    <s v="O'Hara"/>
    <s v="Anna"/>
    <s v="Medium"/>
  </r>
  <r>
    <n v="10204"/>
    <x v="14"/>
    <n v="100"/>
    <n v="14"/>
    <x v="82"/>
    <x v="17"/>
    <x v="1"/>
    <x v="26"/>
    <x v="30"/>
    <s v="Muscle Machine Inc"/>
    <n v="2125557413"/>
    <s v="4092 Furth Circle"/>
    <s v="Suite 400"/>
    <x v="1"/>
    <x v="1"/>
    <n v="10022"/>
    <x v="1"/>
    <s v="NA"/>
    <s v="Young"/>
    <s v="Jeff"/>
    <s v="Medium"/>
  </r>
  <r>
    <n v="10139"/>
    <x v="9"/>
    <n v="100"/>
    <n v="1"/>
    <x v="83"/>
    <x v="21"/>
    <x v="3"/>
    <x v="27"/>
    <x v="31"/>
    <s v="Souveniers And Things Co."/>
    <s v="+61 2 9495 8555"/>
    <s v="Monitor Money Building, 815 Pacific Hwy"/>
    <s v="Level 6"/>
    <x v="2"/>
    <x v="2"/>
    <n v="2067"/>
    <x v="0"/>
    <s v="APAC"/>
    <s v="Huxley"/>
    <s v="Adrian"/>
    <s v="Medium"/>
  </r>
  <r>
    <n v="10163"/>
    <x v="22"/>
    <n v="100"/>
    <n v="2"/>
    <x v="84"/>
    <x v="3"/>
    <x v="3"/>
    <x v="27"/>
    <x v="31"/>
    <s v="Classic Legends Inc."/>
    <n v="2125558493"/>
    <s v="5905 Pompton St."/>
    <s v="Suite 750"/>
    <x v="1"/>
    <x v="1"/>
    <n v="10022"/>
    <x v="1"/>
    <s v="NA"/>
    <s v="Hernandez"/>
    <s v="Maria"/>
    <s v="Medium"/>
  </r>
  <r>
    <n v="10270"/>
    <x v="22"/>
    <n v="96.24"/>
    <n v="10"/>
    <x v="85"/>
    <x v="4"/>
    <x v="3"/>
    <x v="27"/>
    <x v="31"/>
    <s v="Souveniers And Things Co."/>
    <s v="+61 2 9495 8555"/>
    <s v="Monitor Money Building, 815 Pacific Hwy"/>
    <s v="Level 6"/>
    <x v="2"/>
    <x v="2"/>
    <n v="2067"/>
    <x v="0"/>
    <s v="APAC"/>
    <s v="Huxley"/>
    <s v="Adrian"/>
    <s v="Small"/>
  </r>
  <r>
    <n v="10347"/>
    <x v="19"/>
    <n v="100"/>
    <n v="9"/>
    <x v="86"/>
    <x v="5"/>
    <x v="3"/>
    <x v="27"/>
    <x v="31"/>
    <s v="Australian Collectors, Co."/>
    <s v="03 9520 4555"/>
    <s v="636 St Kilda Road"/>
    <s v="Level 3"/>
    <x v="0"/>
    <x v="0"/>
    <n v="3004"/>
    <x v="0"/>
    <s v="APAC"/>
    <s v="Ferguson"/>
    <s v="Peter"/>
    <s v="Medium"/>
  </r>
  <r>
    <n v="10391"/>
    <x v="13"/>
    <n v="45.25"/>
    <n v="6"/>
    <x v="87"/>
    <x v="6"/>
    <x v="3"/>
    <x v="27"/>
    <x v="31"/>
    <s v="Anna's Decorations, Ltd"/>
    <s v="02 9936 8555"/>
    <s v="201 Miller Street"/>
    <s v="Level 15"/>
    <x v="3"/>
    <x v="2"/>
    <n v="2060"/>
    <x v="0"/>
    <s v="APAC"/>
    <s v="O'Hara"/>
    <s v="Anna"/>
    <s v="Small"/>
  </r>
  <r>
    <n v="10139"/>
    <x v="2"/>
    <n v="71.2"/>
    <n v="3"/>
    <x v="88"/>
    <x v="21"/>
    <x v="3"/>
    <x v="28"/>
    <x v="32"/>
    <s v="Souveniers And Things Co."/>
    <s v="+61 2 9495 8555"/>
    <s v="Monitor Money Building, 815 Pacific Hwy"/>
    <s v="Level 6"/>
    <x v="2"/>
    <x v="2"/>
    <n v="2067"/>
    <x v="0"/>
    <s v="APAC"/>
    <s v="Huxley"/>
    <s v="Adrian"/>
    <s v="Small"/>
  </r>
  <r>
    <n v="10163"/>
    <x v="19"/>
    <n v="69.959999999999994"/>
    <n v="4"/>
    <x v="89"/>
    <x v="3"/>
    <x v="3"/>
    <x v="28"/>
    <x v="32"/>
    <s v="Classic Legends Inc."/>
    <n v="2125558493"/>
    <s v="5905 Pompton St."/>
    <s v="Suite 750"/>
    <x v="1"/>
    <x v="1"/>
    <n v="10022"/>
    <x v="1"/>
    <s v="NA"/>
    <s v="Hernandez"/>
    <s v="Maria"/>
    <s v="Medium"/>
  </r>
  <r>
    <n v="10347"/>
    <x v="31"/>
    <n v="64.959999999999994"/>
    <n v="10"/>
    <x v="90"/>
    <x v="5"/>
    <x v="3"/>
    <x v="28"/>
    <x v="32"/>
    <s v="Australian Collectors, Co."/>
    <s v="03 9520 4555"/>
    <s v="636 St Kilda Road"/>
    <s v="Level 3"/>
    <x v="0"/>
    <x v="0"/>
    <n v="3004"/>
    <x v="0"/>
    <s v="APAC"/>
    <s v="Ferguson"/>
    <s v="Peter"/>
    <s v="Small"/>
  </r>
  <r>
    <n v="10139"/>
    <x v="2"/>
    <n v="90.06"/>
    <n v="2"/>
    <x v="91"/>
    <x v="21"/>
    <x v="3"/>
    <x v="29"/>
    <x v="33"/>
    <s v="Souveniers And Things Co."/>
    <s v="+61 2 9495 8555"/>
    <s v="Monitor Money Building, 815 Pacific Hwy"/>
    <s v="Level 6"/>
    <x v="2"/>
    <x v="2"/>
    <n v="2067"/>
    <x v="0"/>
    <s v="APAC"/>
    <s v="Huxley"/>
    <s v="Adrian"/>
    <s v="Small"/>
  </r>
  <r>
    <n v="10163"/>
    <x v="21"/>
    <n v="100"/>
    <n v="3"/>
    <x v="92"/>
    <x v="3"/>
    <x v="3"/>
    <x v="29"/>
    <x v="33"/>
    <s v="Classic Legends Inc."/>
    <n v="2125558493"/>
    <s v="5905 Pompton St."/>
    <s v="Suite 750"/>
    <x v="1"/>
    <x v="1"/>
    <n v="10022"/>
    <x v="1"/>
    <s v="NA"/>
    <s v="Hernandez"/>
    <s v="Maria"/>
    <s v="Medium"/>
  </r>
  <r>
    <n v="10270"/>
    <x v="26"/>
    <n v="100"/>
    <n v="11"/>
    <x v="93"/>
    <x v="4"/>
    <x v="3"/>
    <x v="29"/>
    <x v="33"/>
    <s v="Souveniers And Things Co."/>
    <s v="+61 2 9495 8555"/>
    <s v="Monitor Money Building, 815 Pacific Hwy"/>
    <s v="Level 6"/>
    <x v="2"/>
    <x v="2"/>
    <n v="2067"/>
    <x v="0"/>
    <s v="APAC"/>
    <s v="Huxley"/>
    <s v="Adrian"/>
    <s v="Medium"/>
  </r>
  <r>
    <n v="10347"/>
    <x v="28"/>
    <n v="100"/>
    <n v="11"/>
    <x v="94"/>
    <x v="5"/>
    <x v="3"/>
    <x v="29"/>
    <x v="33"/>
    <s v="Australian Collectors, Co."/>
    <s v="03 9520 4555"/>
    <s v="636 St Kilda Road"/>
    <s v="Level 3"/>
    <x v="0"/>
    <x v="0"/>
    <n v="3004"/>
    <x v="0"/>
    <s v="APAC"/>
    <s v="Ferguson"/>
    <s v="Peter"/>
    <s v="Medium"/>
  </r>
  <r>
    <n v="10127"/>
    <x v="27"/>
    <n v="100"/>
    <n v="15"/>
    <x v="95"/>
    <x v="11"/>
    <x v="1"/>
    <x v="30"/>
    <x v="34"/>
    <s v="Muscle Machine Inc"/>
    <n v="2125557413"/>
    <s v="4092 Furth Circle"/>
    <s v="Suite 400"/>
    <x v="1"/>
    <x v="1"/>
    <n v="10022"/>
    <x v="1"/>
    <s v="NA"/>
    <s v="Young"/>
    <s v="Jeff"/>
    <s v="Medium"/>
  </r>
  <r>
    <n v="10148"/>
    <x v="13"/>
    <n v="100"/>
    <n v="14"/>
    <x v="96"/>
    <x v="16"/>
    <x v="1"/>
    <x v="30"/>
    <x v="34"/>
    <s v="Anna's Decorations, Ltd"/>
    <s v="02 9936 8555"/>
    <s v="201 Miller Street"/>
    <s v="Level 15"/>
    <x v="3"/>
    <x v="2"/>
    <n v="2060"/>
    <x v="0"/>
    <s v="APAC"/>
    <s v="O'Hara"/>
    <s v="Anna"/>
    <s v="Medium"/>
  </r>
  <r>
    <n v="10324"/>
    <x v="14"/>
    <n v="100"/>
    <n v="12"/>
    <x v="97"/>
    <x v="13"/>
    <x v="1"/>
    <x v="30"/>
    <x v="34"/>
    <s v="Vitachrome Inc."/>
    <n v="2125551500"/>
    <s v="2678 Kingston Rd."/>
    <s v="Suite 101"/>
    <x v="1"/>
    <x v="1"/>
    <n v="10022"/>
    <x v="1"/>
    <s v="NA"/>
    <s v="Frick"/>
    <s v="Michael"/>
    <s v="Medium"/>
  </r>
  <r>
    <n v="10342"/>
    <x v="4"/>
    <n v="100"/>
    <n v="4"/>
    <x v="98"/>
    <x v="18"/>
    <x v="1"/>
    <x v="30"/>
    <x v="34"/>
    <s v="Australian Collectors, Co."/>
    <s v="03 9520 4555"/>
    <s v="636 St Kilda Road"/>
    <s v="Level 3"/>
    <x v="0"/>
    <x v="0"/>
    <n v="3004"/>
    <x v="0"/>
    <s v="APAC"/>
    <s v="Ferguson"/>
    <s v="Peter"/>
    <s v="Medium"/>
  </r>
  <r>
    <n v="10349"/>
    <x v="19"/>
    <n v="100"/>
    <n v="6"/>
    <x v="99"/>
    <x v="14"/>
    <x v="1"/>
    <x v="30"/>
    <x v="34"/>
    <s v="Muscle Machine Inc"/>
    <n v="2125557413"/>
    <s v="4092 Furth Circle"/>
    <s v="Suite 400"/>
    <x v="1"/>
    <x v="1"/>
    <n v="10022"/>
    <x v="1"/>
    <s v="NA"/>
    <s v="Young"/>
    <s v="Jeff"/>
    <s v="Large"/>
  </r>
  <r>
    <n v="10370"/>
    <x v="14"/>
    <n v="56.85"/>
    <n v="9"/>
    <x v="100"/>
    <x v="9"/>
    <x v="1"/>
    <x v="30"/>
    <x v="34"/>
    <s v="Anna's Decorations, Ltd"/>
    <s v="02 9936 8555"/>
    <s v="201 Miller Street"/>
    <s v="Level 15"/>
    <x v="3"/>
    <x v="2"/>
    <n v="2060"/>
    <x v="0"/>
    <s v="APAC"/>
    <s v="O'Hara"/>
    <s v="Anna"/>
    <s v="Small"/>
  </r>
  <r>
    <n v="10169"/>
    <x v="13"/>
    <n v="70.760000000000005"/>
    <n v="5"/>
    <x v="101"/>
    <x v="10"/>
    <x v="1"/>
    <x v="31"/>
    <x v="35"/>
    <s v="Anna's Decorations, Ltd"/>
    <s v="02 9936 8555"/>
    <s v="201 Miller Street"/>
    <s v="Level 15"/>
    <x v="3"/>
    <x v="2"/>
    <n v="2060"/>
    <x v="0"/>
    <s v="APAC"/>
    <s v="O'Hara"/>
    <s v="Anna"/>
    <s v="Small"/>
  </r>
  <r>
    <n v="10319"/>
    <x v="9"/>
    <n v="73.98"/>
    <n v="1"/>
    <x v="102"/>
    <x v="12"/>
    <x v="1"/>
    <x v="31"/>
    <x v="35"/>
    <s v="Microscale Inc."/>
    <n v="2125551957"/>
    <s v="5290 North Pendale Street"/>
    <s v="Suite 200"/>
    <x v="1"/>
    <x v="1"/>
    <n v="10022"/>
    <x v="1"/>
    <s v="NA"/>
    <s v="Kuo"/>
    <s v="Kee"/>
    <s v="Medium"/>
  </r>
  <r>
    <n v="10342"/>
    <x v="12"/>
    <n v="66.739999999999995"/>
    <n v="5"/>
    <x v="103"/>
    <x v="18"/>
    <x v="1"/>
    <x v="31"/>
    <x v="35"/>
    <s v="Australian Collectors, Co."/>
    <s v="03 9520 4555"/>
    <s v="636 St Kilda Road"/>
    <s v="Level 3"/>
    <x v="0"/>
    <x v="0"/>
    <n v="3004"/>
    <x v="0"/>
    <s v="APAC"/>
    <s v="Ferguson"/>
    <s v="Peter"/>
    <s v="Small"/>
  </r>
  <r>
    <n v="10139"/>
    <x v="4"/>
    <n v="100"/>
    <n v="5"/>
    <x v="104"/>
    <x v="21"/>
    <x v="3"/>
    <x v="32"/>
    <x v="36"/>
    <s v="Souveniers And Things Co."/>
    <s v="+61 2 9495 8555"/>
    <s v="Monitor Money Building, 815 Pacific Hwy"/>
    <s v="Level 6"/>
    <x v="2"/>
    <x v="2"/>
    <n v="2067"/>
    <x v="0"/>
    <s v="APAC"/>
    <s v="Huxley"/>
    <s v="Adrian"/>
    <s v="Medium"/>
  </r>
  <r>
    <n v="10163"/>
    <x v="20"/>
    <n v="100"/>
    <n v="6"/>
    <x v="105"/>
    <x v="3"/>
    <x v="3"/>
    <x v="32"/>
    <x v="36"/>
    <s v="Classic Legends Inc."/>
    <n v="2125558493"/>
    <s v="5905 Pompton St."/>
    <s v="Suite 750"/>
    <x v="1"/>
    <x v="1"/>
    <n v="10022"/>
    <x v="1"/>
    <s v="NA"/>
    <s v="Hernandez"/>
    <s v="Maria"/>
    <s v="Medium"/>
  </r>
  <r>
    <n v="10347"/>
    <x v="8"/>
    <n v="100"/>
    <n v="12"/>
    <x v="106"/>
    <x v="5"/>
    <x v="3"/>
    <x v="32"/>
    <x v="36"/>
    <s v="Australian Collectors, Co."/>
    <s v="03 9520 4555"/>
    <s v="636 St Kilda Road"/>
    <s v="Level 3"/>
    <x v="0"/>
    <x v="0"/>
    <n v="3004"/>
    <x v="0"/>
    <s v="APAC"/>
    <s v="Ferguson"/>
    <s v="Peter"/>
    <s v="Small"/>
  </r>
  <r>
    <n v="10169"/>
    <x v="18"/>
    <n v="100"/>
    <n v="4"/>
    <x v="107"/>
    <x v="10"/>
    <x v="1"/>
    <x v="33"/>
    <x v="37"/>
    <s v="Anna's Decorations, Ltd"/>
    <s v="02 9936 8555"/>
    <s v="201 Miller Street"/>
    <s v="Level 15"/>
    <x v="3"/>
    <x v="2"/>
    <n v="2060"/>
    <x v="0"/>
    <s v="APAC"/>
    <s v="O'Hara"/>
    <s v="Anna"/>
    <s v="Medium"/>
  </r>
  <r>
    <n v="10342"/>
    <x v="25"/>
    <n v="100"/>
    <n v="7"/>
    <x v="108"/>
    <x v="18"/>
    <x v="1"/>
    <x v="33"/>
    <x v="37"/>
    <s v="Australian Collectors, Co."/>
    <s v="03 9520 4555"/>
    <s v="636 St Kilda Road"/>
    <s v="Level 3"/>
    <x v="0"/>
    <x v="0"/>
    <n v="3004"/>
    <x v="0"/>
    <s v="APAC"/>
    <s v="Ferguson"/>
    <s v="Peter"/>
    <s v="Medium"/>
  </r>
  <r>
    <n v="10148"/>
    <x v="16"/>
    <n v="100"/>
    <n v="11"/>
    <x v="109"/>
    <x v="16"/>
    <x v="1"/>
    <x v="13"/>
    <x v="38"/>
    <s v="Anna's Decorations, Ltd"/>
    <s v="02 9936 8555"/>
    <s v="201 Miller Street"/>
    <s v="Level 15"/>
    <x v="3"/>
    <x v="2"/>
    <n v="2060"/>
    <x v="0"/>
    <s v="APAC"/>
    <s v="O'Hara"/>
    <s v="Anna"/>
    <s v="Medium"/>
  </r>
  <r>
    <n v="10204"/>
    <x v="15"/>
    <n v="100"/>
    <n v="15"/>
    <x v="110"/>
    <x v="17"/>
    <x v="1"/>
    <x v="13"/>
    <x v="38"/>
    <s v="Muscle Machine Inc"/>
    <n v="2125557413"/>
    <s v="4092 Furth Circle"/>
    <s v="Suite 400"/>
    <x v="1"/>
    <x v="1"/>
    <n v="10022"/>
    <x v="1"/>
    <s v="NA"/>
    <s v="Young"/>
    <s v="Jeff"/>
    <s v="Medium"/>
  </r>
  <r>
    <n v="10169"/>
    <x v="26"/>
    <n v="68.39"/>
    <n v="8"/>
    <x v="111"/>
    <x v="10"/>
    <x v="0"/>
    <x v="28"/>
    <x v="39"/>
    <s v="Anna's Decorations, Ltd"/>
    <s v="02 9936 8555"/>
    <s v="201 Miller Street"/>
    <s v="Level 15"/>
    <x v="3"/>
    <x v="2"/>
    <n v="2060"/>
    <x v="0"/>
    <s v="APAC"/>
    <s v="O'Hara"/>
    <s v="Anna"/>
    <s v="Small"/>
  </r>
  <r>
    <n v="10237"/>
    <x v="8"/>
    <n v="52.22"/>
    <n v="1"/>
    <x v="112"/>
    <x v="1"/>
    <x v="0"/>
    <x v="28"/>
    <x v="39"/>
    <s v="Vitachrome Inc."/>
    <n v="2125551500"/>
    <s v="2678 Kingston Rd."/>
    <s v="Suite 101"/>
    <x v="1"/>
    <x v="1"/>
    <n v="10022"/>
    <x v="1"/>
    <s v="NA"/>
    <s v="Frick"/>
    <s v="Michael"/>
    <s v="Small"/>
  </r>
  <r>
    <n v="10319"/>
    <x v="30"/>
    <n v="59.06"/>
    <n v="4"/>
    <x v="113"/>
    <x v="12"/>
    <x v="0"/>
    <x v="28"/>
    <x v="39"/>
    <s v="Microscale Inc."/>
    <n v="2125551957"/>
    <s v="5290 North Pendale Street"/>
    <s v="Suite 200"/>
    <x v="1"/>
    <x v="1"/>
    <n v="10022"/>
    <x v="1"/>
    <s v="NA"/>
    <s v="Kuo"/>
    <s v="Kee"/>
    <s v="Small"/>
  </r>
  <r>
    <n v="10342"/>
    <x v="8"/>
    <n v="55.95"/>
    <n v="8"/>
    <x v="114"/>
    <x v="18"/>
    <x v="0"/>
    <x v="28"/>
    <x v="39"/>
    <s v="Australian Collectors, Co."/>
    <s v="03 9520 4555"/>
    <s v="636 St Kilda Road"/>
    <s v="Level 3"/>
    <x v="0"/>
    <x v="0"/>
    <n v="3004"/>
    <x v="0"/>
    <s v="APAC"/>
    <s v="Ferguson"/>
    <s v="Peter"/>
    <s v="Small"/>
  </r>
  <r>
    <n v="10127"/>
    <x v="12"/>
    <n v="100"/>
    <n v="5"/>
    <x v="115"/>
    <x v="11"/>
    <x v="1"/>
    <x v="34"/>
    <x v="40"/>
    <s v="Muscle Machine Inc"/>
    <n v="2125557413"/>
    <s v="4092 Furth Circle"/>
    <s v="Suite 400"/>
    <x v="1"/>
    <x v="1"/>
    <n v="10022"/>
    <x v="1"/>
    <s v="NA"/>
    <s v="Young"/>
    <s v="Jeff"/>
    <s v="Medium"/>
  </r>
  <r>
    <n v="10324"/>
    <x v="10"/>
    <n v="100"/>
    <n v="13"/>
    <x v="116"/>
    <x v="13"/>
    <x v="1"/>
    <x v="34"/>
    <x v="40"/>
    <s v="Vitachrome Inc."/>
    <n v="2125551500"/>
    <s v="2678 Kingston Rd."/>
    <s v="Suite 101"/>
    <x v="1"/>
    <x v="1"/>
    <n v="10022"/>
    <x v="1"/>
    <s v="NA"/>
    <s v="Frick"/>
    <s v="Michael"/>
    <s v="Medium"/>
  </r>
  <r>
    <n v="10337"/>
    <x v="18"/>
    <n v="100"/>
    <n v="3"/>
    <x v="117"/>
    <x v="8"/>
    <x v="1"/>
    <x v="34"/>
    <x v="40"/>
    <s v="Classic Legends Inc."/>
    <n v="2125558493"/>
    <s v="5905 Pompton St."/>
    <s v="Suite 750"/>
    <x v="1"/>
    <x v="1"/>
    <n v="10022"/>
    <x v="1"/>
    <s v="NA"/>
    <s v="Hernandez"/>
    <s v="Maria"/>
    <s v="Medium"/>
  </r>
  <r>
    <n v="10349"/>
    <x v="31"/>
    <n v="100"/>
    <n v="5"/>
    <x v="118"/>
    <x v="14"/>
    <x v="1"/>
    <x v="34"/>
    <x v="40"/>
    <s v="Muscle Machine Inc"/>
    <n v="2125557413"/>
    <s v="4092 Furth Circle"/>
    <s v="Suite 400"/>
    <x v="1"/>
    <x v="1"/>
    <n v="10022"/>
    <x v="1"/>
    <s v="NA"/>
    <s v="Young"/>
    <s v="Jeff"/>
    <s v="Medium"/>
  </r>
  <r>
    <n v="10148"/>
    <x v="31"/>
    <n v="100"/>
    <n v="1"/>
    <x v="119"/>
    <x v="16"/>
    <x v="3"/>
    <x v="35"/>
    <x v="41"/>
    <s v="Anna's Decorations, Ltd"/>
    <s v="02 9936 8555"/>
    <s v="201 Miller Street"/>
    <s v="Level 15"/>
    <x v="3"/>
    <x v="2"/>
    <n v="2060"/>
    <x v="0"/>
    <s v="APAC"/>
    <s v="O'Hara"/>
    <s v="Anna"/>
    <s v="Medium"/>
  </r>
  <r>
    <n v="10204"/>
    <x v="6"/>
    <n v="85.59"/>
    <n v="5"/>
    <x v="120"/>
    <x v="17"/>
    <x v="3"/>
    <x v="35"/>
    <x v="41"/>
    <s v="Muscle Machine Inc"/>
    <n v="2125557413"/>
    <s v="4092 Furth Circle"/>
    <s v="Suite 400"/>
    <x v="1"/>
    <x v="1"/>
    <n v="10022"/>
    <x v="1"/>
    <s v="NA"/>
    <s v="Young"/>
    <s v="Jeff"/>
    <s v="Small"/>
  </r>
  <r>
    <n v="10420"/>
    <x v="32"/>
    <n v="92.95"/>
    <n v="6"/>
    <x v="121"/>
    <x v="22"/>
    <x v="3"/>
    <x v="35"/>
    <x v="41"/>
    <s v="Souveniers And Things Co."/>
    <s v="+61 2 9495 8555"/>
    <s v="Monitor Money Building, 815 Pacific Hwy"/>
    <s v="Level 6"/>
    <x v="2"/>
    <x v="2"/>
    <n v="2067"/>
    <x v="0"/>
    <s v="APAC"/>
    <s v="Huxley"/>
    <s v="Adrian"/>
    <s v="Medium"/>
  </r>
  <r>
    <n v="10337"/>
    <x v="6"/>
    <n v="100"/>
    <n v="2"/>
    <x v="122"/>
    <x v="8"/>
    <x v="3"/>
    <x v="36"/>
    <x v="42"/>
    <s v="Classic Legends Inc."/>
    <n v="2125558493"/>
    <s v="5905 Pompton St."/>
    <s v="Suite 750"/>
    <x v="1"/>
    <x v="1"/>
    <n v="10022"/>
    <x v="1"/>
    <s v="NA"/>
    <s v="Hernandez"/>
    <s v="Maria"/>
    <s v="Medium"/>
  </r>
  <r>
    <n v="10270"/>
    <x v="26"/>
    <n v="100"/>
    <n v="3"/>
    <x v="123"/>
    <x v="4"/>
    <x v="2"/>
    <x v="37"/>
    <x v="43"/>
    <s v="Souveniers And Things Co."/>
    <s v="+61 2 9495 8555"/>
    <s v="Monitor Money Building, 815 Pacific Hwy"/>
    <s v="Level 6"/>
    <x v="2"/>
    <x v="2"/>
    <n v="2067"/>
    <x v="0"/>
    <s v="APAC"/>
    <s v="Huxley"/>
    <s v="Adrian"/>
    <s v="Medium"/>
  </r>
  <r>
    <n v="10347"/>
    <x v="28"/>
    <n v="100"/>
    <n v="4"/>
    <x v="124"/>
    <x v="5"/>
    <x v="2"/>
    <x v="37"/>
    <x v="43"/>
    <s v="Australian Collectors, Co."/>
    <s v="03 9520 4555"/>
    <s v="636 St Kilda Road"/>
    <s v="Level 3"/>
    <x v="0"/>
    <x v="0"/>
    <n v="3004"/>
    <x v="0"/>
    <s v="APAC"/>
    <s v="Ferguson"/>
    <s v="Peter"/>
    <s v="Medium"/>
  </r>
  <r>
    <n v="10370"/>
    <x v="6"/>
    <n v="57.53"/>
    <n v="6"/>
    <x v="125"/>
    <x v="9"/>
    <x v="2"/>
    <x v="37"/>
    <x v="43"/>
    <s v="Anna's Decorations, Ltd"/>
    <s v="02 9936 8555"/>
    <s v="201 Miller Street"/>
    <s v="Level 15"/>
    <x v="3"/>
    <x v="2"/>
    <n v="2060"/>
    <x v="0"/>
    <s v="APAC"/>
    <s v="O'Hara"/>
    <s v="Anna"/>
    <s v="Small"/>
  </r>
  <r>
    <n v="10270"/>
    <x v="30"/>
    <n v="58.36"/>
    <n v="7"/>
    <x v="126"/>
    <x v="4"/>
    <x v="3"/>
    <x v="38"/>
    <x v="44"/>
    <s v="Souveniers And Things Co."/>
    <s v="+61 2 9495 8555"/>
    <s v="Monitor Money Building, 815 Pacific Hwy"/>
    <s v="Level 6"/>
    <x v="2"/>
    <x v="2"/>
    <n v="2067"/>
    <x v="0"/>
    <s v="APAC"/>
    <s v="Huxley"/>
    <s v="Adrian"/>
    <s v="Small"/>
  </r>
  <r>
    <n v="10324"/>
    <x v="26"/>
    <n v="100"/>
    <n v="6"/>
    <x v="127"/>
    <x v="13"/>
    <x v="3"/>
    <x v="38"/>
    <x v="44"/>
    <s v="Vitachrome Inc."/>
    <n v="2125551500"/>
    <s v="2678 Kingston Rd."/>
    <s v="Suite 101"/>
    <x v="1"/>
    <x v="1"/>
    <n v="10022"/>
    <x v="1"/>
    <s v="NA"/>
    <s v="Frick"/>
    <s v="Michael"/>
    <s v="Medium"/>
  </r>
  <r>
    <n v="10370"/>
    <x v="2"/>
    <n v="100"/>
    <n v="2"/>
    <x v="128"/>
    <x v="9"/>
    <x v="3"/>
    <x v="38"/>
    <x v="44"/>
    <s v="Anna's Decorations, Ltd"/>
    <s v="02 9936 8555"/>
    <s v="201 Miller Street"/>
    <s v="Level 15"/>
    <x v="3"/>
    <x v="2"/>
    <n v="2060"/>
    <x v="0"/>
    <s v="APAC"/>
    <s v="O'Hara"/>
    <s v="Anna"/>
    <s v="Small"/>
  </r>
  <r>
    <n v="10169"/>
    <x v="24"/>
    <n v="100"/>
    <n v="7"/>
    <x v="129"/>
    <x v="10"/>
    <x v="1"/>
    <x v="39"/>
    <x v="45"/>
    <s v="Anna's Decorations, Ltd"/>
    <s v="02 9936 8555"/>
    <s v="201 Miller Street"/>
    <s v="Level 15"/>
    <x v="3"/>
    <x v="2"/>
    <n v="2060"/>
    <x v="0"/>
    <s v="APAC"/>
    <s v="O'Hara"/>
    <s v="Anna"/>
    <s v="Medium"/>
  </r>
  <r>
    <n v="10319"/>
    <x v="28"/>
    <n v="100"/>
    <n v="3"/>
    <x v="130"/>
    <x v="12"/>
    <x v="1"/>
    <x v="39"/>
    <x v="45"/>
    <s v="Microscale Inc."/>
    <n v="2125551957"/>
    <s v="5290 North Pendale Street"/>
    <s v="Suite 200"/>
    <x v="1"/>
    <x v="1"/>
    <n v="10022"/>
    <x v="1"/>
    <s v="NA"/>
    <s v="Kuo"/>
    <s v="Kee"/>
    <s v="Large"/>
  </r>
  <r>
    <n v="10342"/>
    <x v="26"/>
    <n v="100"/>
    <n v="11"/>
    <x v="131"/>
    <x v="18"/>
    <x v="1"/>
    <x v="39"/>
    <x v="45"/>
    <s v="Australian Collectors, Co."/>
    <s v="03 9520 4555"/>
    <s v="636 St Kilda Road"/>
    <s v="Level 3"/>
    <x v="0"/>
    <x v="0"/>
    <n v="3004"/>
    <x v="0"/>
    <s v="APAC"/>
    <s v="Ferguson"/>
    <s v="Peter"/>
    <s v="Medium"/>
  </r>
  <r>
    <n v="10148"/>
    <x v="6"/>
    <n v="81.25"/>
    <n v="2"/>
    <x v="132"/>
    <x v="16"/>
    <x v="1"/>
    <x v="40"/>
    <x v="46"/>
    <s v="Anna's Decorations, Ltd"/>
    <s v="02 9936 8555"/>
    <s v="201 Miller Street"/>
    <s v="Level 15"/>
    <x v="3"/>
    <x v="2"/>
    <n v="2060"/>
    <x v="0"/>
    <s v="APAC"/>
    <s v="O'Hara"/>
    <s v="Anna"/>
    <s v="Small"/>
  </r>
  <r>
    <n v="10204"/>
    <x v="28"/>
    <n v="76.260000000000005"/>
    <n v="6"/>
    <x v="133"/>
    <x v="17"/>
    <x v="1"/>
    <x v="40"/>
    <x v="46"/>
    <s v="Muscle Machine Inc"/>
    <n v="2125557413"/>
    <s v="4092 Furth Circle"/>
    <s v="Suite 400"/>
    <x v="1"/>
    <x v="1"/>
    <n v="10022"/>
    <x v="1"/>
    <s v="NA"/>
    <s v="Young"/>
    <s v="Jeff"/>
    <s v="Medium"/>
  </r>
  <r>
    <n v="10267"/>
    <x v="18"/>
    <n v="75.55"/>
    <n v="1"/>
    <x v="134"/>
    <x v="23"/>
    <x v="1"/>
    <x v="40"/>
    <x v="46"/>
    <s v="Muscle Machine Inc"/>
    <n v="2125557413"/>
    <s v="4092 Furth Circle"/>
    <s v="Suite 400"/>
    <x v="1"/>
    <x v="1"/>
    <n v="10022"/>
    <x v="1"/>
    <s v="NA"/>
    <s v="Young"/>
    <s v="Jeff"/>
    <s v="Small"/>
  </r>
  <r>
    <n v="10420"/>
    <x v="18"/>
    <n v="57.73"/>
    <n v="7"/>
    <x v="135"/>
    <x v="22"/>
    <x v="1"/>
    <x v="40"/>
    <x v="46"/>
    <s v="Souveniers And Things Co."/>
    <s v="+61 2 9495 8555"/>
    <s v="Monitor Money Building, 815 Pacific Hwy"/>
    <s v="Level 6"/>
    <x v="2"/>
    <x v="2"/>
    <n v="2067"/>
    <x v="0"/>
    <s v="APAC"/>
    <s v="Huxley"/>
    <s v="Adrian"/>
    <s v="Small"/>
  </r>
  <r>
    <n v="10148"/>
    <x v="12"/>
    <n v="60.26"/>
    <n v="6"/>
    <x v="136"/>
    <x v="16"/>
    <x v="1"/>
    <x v="41"/>
    <x v="47"/>
    <s v="Anna's Decorations, Ltd"/>
    <s v="02 9936 8555"/>
    <s v="201 Miller Street"/>
    <s v="Level 15"/>
    <x v="3"/>
    <x v="2"/>
    <n v="2060"/>
    <x v="0"/>
    <s v="APAC"/>
    <s v="O'Hara"/>
    <s v="Anna"/>
    <s v="Small"/>
  </r>
  <r>
    <n v="10204"/>
    <x v="2"/>
    <n v="62.47"/>
    <n v="10"/>
    <x v="137"/>
    <x v="17"/>
    <x v="1"/>
    <x v="41"/>
    <x v="47"/>
    <s v="Muscle Machine Inc"/>
    <n v="2125557413"/>
    <s v="4092 Furth Circle"/>
    <s v="Suite 400"/>
    <x v="1"/>
    <x v="1"/>
    <n v="10022"/>
    <x v="1"/>
    <s v="NA"/>
    <s v="Young"/>
    <s v="Jeff"/>
    <s v="Small"/>
  </r>
  <r>
    <n v="10267"/>
    <x v="21"/>
    <n v="80.099999999999994"/>
    <n v="5"/>
    <x v="138"/>
    <x v="23"/>
    <x v="1"/>
    <x v="41"/>
    <x v="47"/>
    <s v="Muscle Machine Inc"/>
    <n v="2125557413"/>
    <s v="4092 Furth Circle"/>
    <s v="Suite 400"/>
    <x v="1"/>
    <x v="1"/>
    <n v="10022"/>
    <x v="1"/>
    <s v="NA"/>
    <s v="Young"/>
    <s v="Jeff"/>
    <s v="Medium"/>
  </r>
  <r>
    <n v="10420"/>
    <x v="33"/>
    <n v="64.67"/>
    <n v="11"/>
    <x v="139"/>
    <x v="22"/>
    <x v="1"/>
    <x v="41"/>
    <x v="47"/>
    <s v="Souveniers And Things Co."/>
    <s v="+61 2 9495 8555"/>
    <s v="Monitor Money Building, 815 Pacific Hwy"/>
    <s v="Level 6"/>
    <x v="2"/>
    <x v="2"/>
    <n v="2067"/>
    <x v="0"/>
    <s v="APAC"/>
    <s v="Huxley"/>
    <s v="Adrian"/>
    <s v="Medium"/>
  </r>
  <r>
    <n v="10115"/>
    <x v="7"/>
    <n v="69.36"/>
    <n v="2"/>
    <x v="140"/>
    <x v="15"/>
    <x v="1"/>
    <x v="42"/>
    <x v="48"/>
    <s v="Classic Legends Inc."/>
    <n v="2125558493"/>
    <s v="5905 Pompton St."/>
    <s v="Suite 750"/>
    <x v="1"/>
    <x v="1"/>
    <n v="10022"/>
    <x v="1"/>
    <s v="NA"/>
    <s v="Hernandez"/>
    <s v="Maria"/>
    <s v="Medium"/>
  </r>
  <r>
    <n v="10127"/>
    <x v="2"/>
    <n v="60.69"/>
    <n v="8"/>
    <x v="141"/>
    <x v="11"/>
    <x v="1"/>
    <x v="42"/>
    <x v="48"/>
    <s v="Muscle Machine Inc"/>
    <n v="2125557413"/>
    <s v="4092 Furth Circle"/>
    <s v="Suite 400"/>
    <x v="1"/>
    <x v="1"/>
    <n v="10022"/>
    <x v="1"/>
    <s v="NA"/>
    <s v="Young"/>
    <s v="Jeff"/>
    <s v="Small"/>
  </r>
  <r>
    <n v="10324"/>
    <x v="12"/>
    <n v="69.16"/>
    <n v="14"/>
    <x v="142"/>
    <x v="13"/>
    <x v="1"/>
    <x v="42"/>
    <x v="48"/>
    <s v="Vitachrome Inc."/>
    <n v="2125551500"/>
    <s v="2678 Kingston Rd."/>
    <s v="Suite 101"/>
    <x v="1"/>
    <x v="1"/>
    <n v="10022"/>
    <x v="1"/>
    <s v="NA"/>
    <s v="Frick"/>
    <s v="Michael"/>
    <s v="Small"/>
  </r>
  <r>
    <n v="10349"/>
    <x v="19"/>
    <n v="47.4"/>
    <n v="4"/>
    <x v="143"/>
    <x v="14"/>
    <x v="1"/>
    <x v="42"/>
    <x v="48"/>
    <s v="Muscle Machine Inc"/>
    <n v="2125557413"/>
    <s v="4092 Furth Circle"/>
    <s v="Suite 400"/>
    <x v="1"/>
    <x v="1"/>
    <n v="10022"/>
    <x v="1"/>
    <s v="NA"/>
    <s v="Young"/>
    <s v="Jeff"/>
    <s v="Small"/>
  </r>
  <r>
    <n v="10120"/>
    <x v="15"/>
    <n v="98.05"/>
    <n v="1"/>
    <x v="144"/>
    <x v="7"/>
    <x v="0"/>
    <x v="43"/>
    <x v="49"/>
    <s v="Australian Collectors, Co."/>
    <s v="03 9520 4555"/>
    <s v="636 St Kilda Road"/>
    <s v="Level 3"/>
    <x v="0"/>
    <x v="0"/>
    <n v="3004"/>
    <x v="0"/>
    <s v="APAC"/>
    <s v="Ferguson"/>
    <s v="Peter"/>
    <s v="Medium"/>
  </r>
  <r>
    <n v="10223"/>
    <x v="13"/>
    <n v="91.29"/>
    <n v="2"/>
    <x v="145"/>
    <x v="0"/>
    <x v="0"/>
    <x v="43"/>
    <x v="49"/>
    <s v="Australian Collectors, Co."/>
    <s v="03 9520 4555"/>
    <s v="636 St Kilda Road"/>
    <s v="Level 3"/>
    <x v="0"/>
    <x v="0"/>
    <n v="3004"/>
    <x v="0"/>
    <s v="APAC"/>
    <s v="Ferguson"/>
    <s v="Peter"/>
    <s v="Small"/>
  </r>
  <r>
    <n v="10237"/>
    <x v="2"/>
    <n v="100"/>
    <n v="8"/>
    <x v="146"/>
    <x v="1"/>
    <x v="0"/>
    <x v="43"/>
    <x v="49"/>
    <s v="Vitachrome Inc."/>
    <n v="2125551500"/>
    <s v="2678 Kingston Rd."/>
    <s v="Suite 101"/>
    <x v="1"/>
    <x v="1"/>
    <n v="10022"/>
    <x v="1"/>
    <s v="NA"/>
    <s v="Frick"/>
    <s v="Michael"/>
    <s v="Small"/>
  </r>
  <r>
    <n v="10148"/>
    <x v="7"/>
    <n v="56.85"/>
    <n v="8"/>
    <x v="147"/>
    <x v="16"/>
    <x v="1"/>
    <x v="38"/>
    <x v="50"/>
    <s v="Anna's Decorations, Ltd"/>
    <s v="02 9936 8555"/>
    <s v="201 Miller Street"/>
    <s v="Level 15"/>
    <x v="3"/>
    <x v="2"/>
    <n v="2060"/>
    <x v="0"/>
    <s v="APAC"/>
    <s v="O'Hara"/>
    <s v="Anna"/>
    <s v="Small"/>
  </r>
  <r>
    <n v="10204"/>
    <x v="28"/>
    <n v="49.81"/>
    <n v="12"/>
    <x v="148"/>
    <x v="17"/>
    <x v="1"/>
    <x v="38"/>
    <x v="50"/>
    <s v="Muscle Machine Inc"/>
    <n v="2125557413"/>
    <s v="4092 Furth Circle"/>
    <s v="Suite 400"/>
    <x v="1"/>
    <x v="1"/>
    <n v="10022"/>
    <x v="1"/>
    <s v="NA"/>
    <s v="Young"/>
    <s v="Jeff"/>
    <s v="Small"/>
  </r>
  <r>
    <n v="10420"/>
    <x v="0"/>
    <n v="60.37"/>
    <n v="13"/>
    <x v="149"/>
    <x v="22"/>
    <x v="1"/>
    <x v="38"/>
    <x v="50"/>
    <s v="Souveniers And Things Co."/>
    <s v="+61 2 9495 8555"/>
    <s v="Monitor Money Building, 815 Pacific Hwy"/>
    <s v="Level 6"/>
    <x v="2"/>
    <x v="2"/>
    <n v="2067"/>
    <x v="0"/>
    <s v="APAC"/>
    <s v="Huxley"/>
    <s v="Adrian"/>
    <s v="Small"/>
  </r>
  <r>
    <n v="10120"/>
    <x v="11"/>
    <n v="100"/>
    <n v="10"/>
    <x v="150"/>
    <x v="7"/>
    <x v="4"/>
    <x v="44"/>
    <x v="51"/>
    <s v="Australian Collectors, Co."/>
    <s v="03 9520 4555"/>
    <s v="636 St Kilda Road"/>
    <s v="Level 3"/>
    <x v="0"/>
    <x v="0"/>
    <n v="3004"/>
    <x v="0"/>
    <s v="APAC"/>
    <s v="Ferguson"/>
    <s v="Peter"/>
    <s v="Medium"/>
  </r>
  <r>
    <n v="10223"/>
    <x v="31"/>
    <n v="100"/>
    <n v="11"/>
    <x v="151"/>
    <x v="0"/>
    <x v="4"/>
    <x v="44"/>
    <x v="51"/>
    <s v="Australian Collectors, Co."/>
    <s v="03 9520 4555"/>
    <s v="636 St Kilda Road"/>
    <s v="Level 3"/>
    <x v="0"/>
    <x v="0"/>
    <n v="3004"/>
    <x v="0"/>
    <s v="APAC"/>
    <s v="Ferguson"/>
    <s v="Peter"/>
    <s v="Medium"/>
  </r>
  <r>
    <n v="10391"/>
    <x v="24"/>
    <n v="100"/>
    <n v="8"/>
    <x v="152"/>
    <x v="6"/>
    <x v="3"/>
    <x v="45"/>
    <x v="52"/>
    <s v="Anna's Decorations, Ltd"/>
    <s v="02 9936 8555"/>
    <s v="201 Miller Street"/>
    <s v="Level 15"/>
    <x v="3"/>
    <x v="2"/>
    <n v="2060"/>
    <x v="0"/>
    <s v="APAC"/>
    <s v="O'Hara"/>
    <s v="Anna"/>
    <s v="Large"/>
  </r>
  <r>
    <n v="10420"/>
    <x v="28"/>
    <n v="26.88"/>
    <n v="1"/>
    <x v="153"/>
    <x v="22"/>
    <x v="3"/>
    <x v="45"/>
    <x v="52"/>
    <s v="Souveniers And Things Co."/>
    <s v="+61 2 9495 8555"/>
    <s v="Monitor Money Building, 815 Pacific Hwy"/>
    <s v="Level 6"/>
    <x v="2"/>
    <x v="2"/>
    <n v="2067"/>
    <x v="0"/>
    <s v="APAC"/>
    <s v="Huxley"/>
    <s v="Adrian"/>
    <s v="Small"/>
  </r>
  <r>
    <n v="10120"/>
    <x v="31"/>
    <n v="83.79"/>
    <n v="5"/>
    <x v="154"/>
    <x v="7"/>
    <x v="0"/>
    <x v="46"/>
    <x v="53"/>
    <s v="Australian Collectors, Co."/>
    <s v="03 9520 4555"/>
    <s v="636 St Kilda Road"/>
    <s v="Level 3"/>
    <x v="0"/>
    <x v="0"/>
    <n v="3004"/>
    <x v="0"/>
    <s v="APAC"/>
    <s v="Ferguson"/>
    <s v="Peter"/>
    <s v="Small"/>
  </r>
  <r>
    <n v="10223"/>
    <x v="26"/>
    <n v="69.31"/>
    <n v="6"/>
    <x v="155"/>
    <x v="0"/>
    <x v="0"/>
    <x v="46"/>
    <x v="53"/>
    <s v="Australian Collectors, Co."/>
    <s v="03 9520 4555"/>
    <s v="636 St Kilda Road"/>
    <s v="Level 3"/>
    <x v="0"/>
    <x v="0"/>
    <n v="3004"/>
    <x v="0"/>
    <s v="APAC"/>
    <s v="Ferguson"/>
    <s v="Peter"/>
    <s v="Small"/>
  </r>
  <r>
    <n v="10337"/>
    <x v="6"/>
    <n v="71.97"/>
    <n v="4"/>
    <x v="156"/>
    <x v="8"/>
    <x v="5"/>
    <x v="22"/>
    <x v="54"/>
    <s v="Classic Legends Inc."/>
    <n v="2125558493"/>
    <s v="5905 Pompton St."/>
    <s v="Suite 750"/>
    <x v="1"/>
    <x v="1"/>
    <n v="10022"/>
    <x v="1"/>
    <s v="NA"/>
    <s v="Hernandez"/>
    <s v="Maria"/>
    <s v="Small"/>
  </r>
  <r>
    <n v="10391"/>
    <x v="5"/>
    <n v="100"/>
    <n v="1"/>
    <x v="157"/>
    <x v="6"/>
    <x v="3"/>
    <x v="47"/>
    <x v="55"/>
    <s v="Anna's Decorations, Ltd"/>
    <s v="02 9936 8555"/>
    <s v="201 Miller Street"/>
    <s v="Level 15"/>
    <x v="3"/>
    <x v="2"/>
    <n v="2060"/>
    <x v="0"/>
    <s v="APAC"/>
    <s v="O'Hara"/>
    <s v="Anna"/>
    <s v="Medium"/>
  </r>
  <r>
    <n v="10324"/>
    <x v="22"/>
    <n v="100"/>
    <n v="2"/>
    <x v="158"/>
    <x v="13"/>
    <x v="2"/>
    <x v="23"/>
    <x v="56"/>
    <s v="Vitachrome Inc."/>
    <n v="2125551500"/>
    <s v="2678 Kingston Rd."/>
    <s v="Suite 101"/>
    <x v="1"/>
    <x v="1"/>
    <n v="10022"/>
    <x v="1"/>
    <s v="NA"/>
    <s v="Frick"/>
    <s v="Michael"/>
    <s v="Medium"/>
  </r>
  <r>
    <n v="10169"/>
    <x v="26"/>
    <n v="74.11"/>
    <n v="11"/>
    <x v="159"/>
    <x v="10"/>
    <x v="0"/>
    <x v="48"/>
    <x v="57"/>
    <s v="Anna's Decorations, Ltd"/>
    <s v="02 9936 8555"/>
    <s v="201 Miller Street"/>
    <s v="Level 15"/>
    <x v="3"/>
    <x v="2"/>
    <n v="2060"/>
    <x v="0"/>
    <s v="APAC"/>
    <s v="O'Hara"/>
    <s v="Anna"/>
    <s v="Small"/>
  </r>
  <r>
    <n v="10237"/>
    <x v="8"/>
    <n v="79.650000000000006"/>
    <n v="4"/>
    <x v="160"/>
    <x v="1"/>
    <x v="0"/>
    <x v="48"/>
    <x v="57"/>
    <s v="Vitachrome Inc."/>
    <n v="2125551500"/>
    <s v="2678 Kingston Rd."/>
    <s v="Suite 101"/>
    <x v="1"/>
    <x v="1"/>
    <n v="10022"/>
    <x v="1"/>
    <s v="NA"/>
    <s v="Frick"/>
    <s v="Michael"/>
    <s v="Small"/>
  </r>
  <r>
    <n v="10319"/>
    <x v="22"/>
    <n v="81.73"/>
    <n v="7"/>
    <x v="161"/>
    <x v="12"/>
    <x v="0"/>
    <x v="48"/>
    <x v="57"/>
    <s v="Microscale Inc."/>
    <n v="2125551957"/>
    <s v="5290 North Pendale Street"/>
    <s v="Suite 200"/>
    <x v="1"/>
    <x v="1"/>
    <n v="10022"/>
    <x v="1"/>
    <s v="NA"/>
    <s v="Kuo"/>
    <s v="Kee"/>
    <s v="Small"/>
  </r>
  <r>
    <n v="10148"/>
    <x v="3"/>
    <n v="73.599999999999994"/>
    <n v="4"/>
    <x v="162"/>
    <x v="16"/>
    <x v="1"/>
    <x v="49"/>
    <x v="58"/>
    <s v="Anna's Decorations, Ltd"/>
    <s v="02 9936 8555"/>
    <s v="201 Miller Street"/>
    <s v="Level 15"/>
    <x v="3"/>
    <x v="2"/>
    <n v="2060"/>
    <x v="0"/>
    <s v="APAC"/>
    <s v="O'Hara"/>
    <s v="Anna"/>
    <s v="Small"/>
  </r>
  <r>
    <n v="10204"/>
    <x v="7"/>
    <n v="96.32"/>
    <n v="8"/>
    <x v="163"/>
    <x v="17"/>
    <x v="1"/>
    <x v="49"/>
    <x v="58"/>
    <s v="Muscle Machine Inc"/>
    <n v="2125557413"/>
    <s v="4092 Furth Circle"/>
    <s v="Suite 400"/>
    <x v="1"/>
    <x v="1"/>
    <n v="10022"/>
    <x v="1"/>
    <s v="NA"/>
    <s v="Young"/>
    <s v="Jeff"/>
    <s v="Medium"/>
  </r>
  <r>
    <n v="10267"/>
    <x v="26"/>
    <n v="87.24"/>
    <n v="3"/>
    <x v="164"/>
    <x v="23"/>
    <x v="1"/>
    <x v="49"/>
    <x v="58"/>
    <s v="Muscle Machine Inc"/>
    <n v="2125557413"/>
    <s v="4092 Furth Circle"/>
    <s v="Suite 400"/>
    <x v="1"/>
    <x v="1"/>
    <n v="10022"/>
    <x v="1"/>
    <s v="NA"/>
    <s v="Young"/>
    <s v="Jeff"/>
    <s v="Medium"/>
  </r>
  <r>
    <n v="10420"/>
    <x v="11"/>
    <n v="100"/>
    <n v="9"/>
    <x v="165"/>
    <x v="22"/>
    <x v="1"/>
    <x v="49"/>
    <x v="58"/>
    <s v="Souveniers And Things Co."/>
    <s v="+61 2 9495 8555"/>
    <s v="Monitor Money Building, 815 Pacific Hwy"/>
    <s v="Level 6"/>
    <x v="2"/>
    <x v="2"/>
    <n v="2067"/>
    <x v="0"/>
    <s v="APAC"/>
    <s v="Huxley"/>
    <s v="Adrian"/>
    <s v="Medium"/>
  </r>
  <r>
    <n v="10127"/>
    <x v="11"/>
    <n v="38.19"/>
    <n v="12"/>
    <x v="166"/>
    <x v="11"/>
    <x v="1"/>
    <x v="50"/>
    <x v="59"/>
    <s v="Muscle Machine Inc"/>
    <n v="2125557413"/>
    <s v="4092 Furth Circle"/>
    <s v="Suite 400"/>
    <x v="1"/>
    <x v="1"/>
    <n v="10022"/>
    <x v="1"/>
    <s v="NA"/>
    <s v="Young"/>
    <s v="Jeff"/>
    <s v="Small"/>
  </r>
  <r>
    <n v="10324"/>
    <x v="4"/>
    <n v="100"/>
    <n v="9"/>
    <x v="167"/>
    <x v="13"/>
    <x v="1"/>
    <x v="50"/>
    <x v="59"/>
    <s v="Vitachrome Inc."/>
    <n v="2125551500"/>
    <s v="2678 Kingston Rd."/>
    <s v="Suite 101"/>
    <x v="1"/>
    <x v="1"/>
    <n v="10022"/>
    <x v="1"/>
    <s v="NA"/>
    <s v="Frick"/>
    <s v="Michael"/>
    <s v="Medium"/>
  </r>
  <r>
    <n v="10349"/>
    <x v="18"/>
    <n v="37.130000000000003"/>
    <n v="3"/>
    <x v="168"/>
    <x v="14"/>
    <x v="1"/>
    <x v="50"/>
    <x v="59"/>
    <s v="Muscle Machine Inc"/>
    <n v="2125557413"/>
    <s v="4092 Furth Circle"/>
    <s v="Suite 400"/>
    <x v="1"/>
    <x v="1"/>
    <n v="10022"/>
    <x v="1"/>
    <s v="NA"/>
    <s v="Young"/>
    <s v="Jeff"/>
    <s v="Small"/>
  </r>
  <r>
    <n v="10148"/>
    <x v="31"/>
    <n v="100"/>
    <n v="3"/>
    <x v="169"/>
    <x v="16"/>
    <x v="1"/>
    <x v="51"/>
    <x v="60"/>
    <s v="Anna's Decorations, Ltd"/>
    <s v="02 9936 8555"/>
    <s v="201 Miller Street"/>
    <s v="Level 15"/>
    <x v="3"/>
    <x v="2"/>
    <n v="2060"/>
    <x v="0"/>
    <s v="APAC"/>
    <s v="O'Hara"/>
    <s v="Anna"/>
    <s v="Medium"/>
  </r>
  <r>
    <n v="10204"/>
    <x v="17"/>
    <n v="100"/>
    <n v="7"/>
    <x v="170"/>
    <x v="17"/>
    <x v="1"/>
    <x v="51"/>
    <x v="60"/>
    <s v="Muscle Machine Inc"/>
    <n v="2125557413"/>
    <s v="4092 Furth Circle"/>
    <s v="Suite 400"/>
    <x v="1"/>
    <x v="1"/>
    <n v="10022"/>
    <x v="1"/>
    <s v="NA"/>
    <s v="Young"/>
    <s v="Jeff"/>
    <s v="Medium"/>
  </r>
  <r>
    <n v="10267"/>
    <x v="20"/>
    <n v="100"/>
    <n v="2"/>
    <x v="171"/>
    <x v="23"/>
    <x v="1"/>
    <x v="51"/>
    <x v="60"/>
    <s v="Muscle Machine Inc"/>
    <n v="2125557413"/>
    <s v="4092 Furth Circle"/>
    <s v="Suite 400"/>
    <x v="1"/>
    <x v="1"/>
    <n v="10022"/>
    <x v="1"/>
    <s v="NA"/>
    <s v="Young"/>
    <s v="Jeff"/>
    <s v="Medium"/>
  </r>
  <r>
    <n v="10420"/>
    <x v="25"/>
    <n v="96.3"/>
    <n v="8"/>
    <x v="172"/>
    <x v="22"/>
    <x v="1"/>
    <x v="51"/>
    <x v="60"/>
    <s v="Souveniers And Things Co."/>
    <s v="+61 2 9495 8555"/>
    <s v="Monitor Money Building, 815 Pacific Hwy"/>
    <s v="Level 6"/>
    <x v="2"/>
    <x v="2"/>
    <n v="2067"/>
    <x v="0"/>
    <s v="APAC"/>
    <s v="Huxley"/>
    <s v="Adrian"/>
    <s v="Medium"/>
  </r>
  <r>
    <n v="10342"/>
    <x v="11"/>
    <n v="40.4"/>
    <n v="9"/>
    <x v="173"/>
    <x v="18"/>
    <x v="1"/>
    <x v="52"/>
    <x v="61"/>
    <s v="Australian Collectors, Co."/>
    <s v="03 9520 4555"/>
    <s v="636 St Kilda Road"/>
    <s v="Level 3"/>
    <x v="0"/>
    <x v="0"/>
    <n v="3004"/>
    <x v="0"/>
    <s v="APAC"/>
    <s v="Ferguson"/>
    <s v="Peter"/>
    <s v="Small"/>
  </r>
  <r>
    <n v="10148"/>
    <x v="22"/>
    <n v="73.62"/>
    <n v="5"/>
    <x v="174"/>
    <x v="16"/>
    <x v="1"/>
    <x v="53"/>
    <x v="62"/>
    <s v="Anna's Decorations, Ltd"/>
    <s v="02 9936 8555"/>
    <s v="201 Miller Street"/>
    <s v="Level 15"/>
    <x v="3"/>
    <x v="2"/>
    <n v="2060"/>
    <x v="0"/>
    <s v="APAC"/>
    <s v="O'Hara"/>
    <s v="Anna"/>
    <s v="Small"/>
  </r>
  <r>
    <n v="10204"/>
    <x v="21"/>
    <n v="79.62"/>
    <n v="9"/>
    <x v="175"/>
    <x v="17"/>
    <x v="1"/>
    <x v="53"/>
    <x v="62"/>
    <s v="Muscle Machine Inc"/>
    <n v="2125557413"/>
    <s v="4092 Furth Circle"/>
    <s v="Suite 400"/>
    <x v="1"/>
    <x v="1"/>
    <n v="10022"/>
    <x v="1"/>
    <s v="NA"/>
    <s v="Young"/>
    <s v="Jeff"/>
    <s v="Medium"/>
  </r>
  <r>
    <n v="10267"/>
    <x v="30"/>
    <n v="96.74"/>
    <n v="4"/>
    <x v="176"/>
    <x v="23"/>
    <x v="1"/>
    <x v="53"/>
    <x v="62"/>
    <s v="Muscle Machine Inc"/>
    <n v="2125557413"/>
    <s v="4092 Furth Circle"/>
    <s v="Suite 400"/>
    <x v="1"/>
    <x v="1"/>
    <n v="10022"/>
    <x v="1"/>
    <s v="NA"/>
    <s v="Young"/>
    <s v="Jeff"/>
    <s v="Medium"/>
  </r>
  <r>
    <n v="10420"/>
    <x v="15"/>
    <n v="96.74"/>
    <n v="10"/>
    <x v="177"/>
    <x v="22"/>
    <x v="1"/>
    <x v="53"/>
    <x v="62"/>
    <s v="Souveniers And Things Co."/>
    <s v="+61 2 9495 8555"/>
    <s v="Monitor Money Building, 815 Pacific Hwy"/>
    <s v="Level 6"/>
    <x v="2"/>
    <x v="2"/>
    <n v="2067"/>
    <x v="0"/>
    <s v="APAC"/>
    <s v="Huxley"/>
    <s v="Adrian"/>
    <s v="Medium"/>
  </r>
  <r>
    <n v="10169"/>
    <x v="31"/>
    <n v="50.21"/>
    <n v="1"/>
    <x v="178"/>
    <x v="10"/>
    <x v="1"/>
    <x v="54"/>
    <x v="63"/>
    <s v="Anna's Decorations, Ltd"/>
    <s v="02 9936 8555"/>
    <s v="201 Miller Street"/>
    <s v="Level 15"/>
    <x v="3"/>
    <x v="2"/>
    <n v="2060"/>
    <x v="0"/>
    <s v="APAC"/>
    <s v="O'Hara"/>
    <s v="Anna"/>
    <s v="Small"/>
  </r>
  <r>
    <n v="10342"/>
    <x v="19"/>
    <n v="62.45"/>
    <n v="10"/>
    <x v="179"/>
    <x v="18"/>
    <x v="1"/>
    <x v="54"/>
    <x v="63"/>
    <s v="Australian Collectors, Co."/>
    <s v="03 9520 4555"/>
    <s v="636 St Kilda Road"/>
    <s v="Level 3"/>
    <x v="0"/>
    <x v="0"/>
    <n v="3004"/>
    <x v="0"/>
    <s v="APAC"/>
    <s v="Ferguson"/>
    <s v="Peter"/>
    <s v="Small"/>
  </r>
  <r>
    <n v="10361"/>
    <x v="31"/>
    <n v="100"/>
    <n v="6"/>
    <x v="180"/>
    <x v="2"/>
    <x v="3"/>
    <x v="55"/>
    <x v="64"/>
    <s v="Souveniers And Things Co."/>
    <s v="+61 2 9495 8555"/>
    <s v="Monitor Money Building, 815 Pacific Hwy"/>
    <s v="Level 6"/>
    <x v="2"/>
    <x v="2"/>
    <n v="2067"/>
    <x v="0"/>
    <s v="APAC"/>
    <s v="Huxley"/>
    <s v="Adrian"/>
    <s v="Medium"/>
  </r>
  <r>
    <n v="10148"/>
    <x v="14"/>
    <n v="100"/>
    <n v="7"/>
    <x v="181"/>
    <x v="16"/>
    <x v="1"/>
    <x v="56"/>
    <x v="65"/>
    <s v="Anna's Decorations, Ltd"/>
    <s v="02 9936 8555"/>
    <s v="201 Miller Street"/>
    <s v="Level 15"/>
    <x v="3"/>
    <x v="2"/>
    <n v="2060"/>
    <x v="0"/>
    <s v="APAC"/>
    <s v="O'Hara"/>
    <s v="Anna"/>
    <s v="Medium"/>
  </r>
  <r>
    <n v="10204"/>
    <x v="19"/>
    <n v="91.02"/>
    <n v="11"/>
    <x v="182"/>
    <x v="17"/>
    <x v="1"/>
    <x v="56"/>
    <x v="65"/>
    <s v="Muscle Machine Inc"/>
    <n v="2125557413"/>
    <s v="4092 Furth Circle"/>
    <s v="Suite 400"/>
    <x v="1"/>
    <x v="1"/>
    <n v="10022"/>
    <x v="1"/>
    <s v="NA"/>
    <s v="Young"/>
    <s v="Jeff"/>
    <s v="Medium"/>
  </r>
  <r>
    <n v="10267"/>
    <x v="20"/>
    <n v="100"/>
    <n v="6"/>
    <x v="183"/>
    <x v="23"/>
    <x v="1"/>
    <x v="56"/>
    <x v="65"/>
    <s v="Muscle Machine Inc"/>
    <n v="2125557413"/>
    <s v="4092 Furth Circle"/>
    <s v="Suite 400"/>
    <x v="1"/>
    <x v="1"/>
    <n v="10022"/>
    <x v="1"/>
    <s v="NA"/>
    <s v="Young"/>
    <s v="Jeff"/>
    <s v="Medium"/>
  </r>
  <r>
    <n v="10420"/>
    <x v="8"/>
    <n v="100"/>
    <n v="12"/>
    <x v="184"/>
    <x v="22"/>
    <x v="1"/>
    <x v="56"/>
    <x v="65"/>
    <s v="Souveniers And Things Co."/>
    <s v="+61 2 9495 8555"/>
    <s v="Monitor Money Building, 815 Pacific Hwy"/>
    <s v="Level 6"/>
    <x v="2"/>
    <x v="2"/>
    <n v="2067"/>
    <x v="0"/>
    <s v="APAC"/>
    <s v="Huxley"/>
    <s v="Adrian"/>
    <s v="Small"/>
  </r>
  <r>
    <n v="10342"/>
    <x v="17"/>
    <n v="100"/>
    <n v="6"/>
    <x v="185"/>
    <x v="18"/>
    <x v="1"/>
    <x v="57"/>
    <x v="66"/>
    <s v="Australian Collectors, Co."/>
    <s v="03 9520 4555"/>
    <s v="636 St Kilda Road"/>
    <s v="Level 3"/>
    <x v="0"/>
    <x v="0"/>
    <n v="3004"/>
    <x v="0"/>
    <s v="APAC"/>
    <s v="Ferguson"/>
    <s v="Peter"/>
    <s v="Medium"/>
  </r>
  <r>
    <n v="10361"/>
    <x v="8"/>
    <n v="100"/>
    <n v="7"/>
    <x v="186"/>
    <x v="2"/>
    <x v="4"/>
    <x v="58"/>
    <x v="67"/>
    <s v="Souveniers And Things Co."/>
    <s v="+61 2 9495 8555"/>
    <s v="Monitor Money Building, 815 Pacific Hwy"/>
    <s v="Level 6"/>
    <x v="2"/>
    <x v="2"/>
    <n v="2067"/>
    <x v="0"/>
    <s v="APAC"/>
    <s v="Huxley"/>
    <s v="Adrian"/>
    <s v="Medium"/>
  </r>
  <r>
    <n v="10204"/>
    <x v="11"/>
    <n v="33.229999999999997"/>
    <n v="2"/>
    <x v="187"/>
    <x v="17"/>
    <x v="3"/>
    <x v="59"/>
    <x v="68"/>
    <s v="Muscle Machine Inc"/>
    <n v="2125557413"/>
    <s v="4092 Furth Circle"/>
    <s v="Suite 400"/>
    <x v="1"/>
    <x v="1"/>
    <n v="10022"/>
    <x v="1"/>
    <s v="NA"/>
    <s v="Young"/>
    <s v="Jeff"/>
    <s v="Small"/>
  </r>
  <r>
    <n v="10242"/>
    <x v="9"/>
    <n v="36.93"/>
    <n v="1"/>
    <x v="188"/>
    <x v="24"/>
    <x v="3"/>
    <x v="59"/>
    <x v="68"/>
    <s v="Microscale Inc."/>
    <n v="2125551957"/>
    <s v="5290 North Pendale Street"/>
    <s v="Suite 200"/>
    <x v="1"/>
    <x v="1"/>
    <n v="10022"/>
    <x v="1"/>
    <s v="NA"/>
    <s v="Kuo"/>
    <s v="Kee"/>
    <s v="Small"/>
  </r>
  <r>
    <n v="10420"/>
    <x v="34"/>
    <n v="43.49"/>
    <n v="3"/>
    <x v="189"/>
    <x v="22"/>
    <x v="3"/>
    <x v="59"/>
    <x v="68"/>
    <s v="Souveniers And Things Co."/>
    <s v="+61 2 9495 8555"/>
    <s v="Monitor Money Building, 815 Pacific Hwy"/>
    <s v="Level 6"/>
    <x v="2"/>
    <x v="2"/>
    <n v="2067"/>
    <x v="0"/>
    <s v="APAC"/>
    <s v="Huxley"/>
    <s v="Adrian"/>
    <s v="Small"/>
  </r>
  <r>
    <n v="10115"/>
    <x v="30"/>
    <n v="100"/>
    <n v="1"/>
    <x v="190"/>
    <x v="15"/>
    <x v="1"/>
    <x v="2"/>
    <x v="69"/>
    <s v="Classic Legends Inc."/>
    <n v="2125558493"/>
    <s v="5905 Pompton St."/>
    <s v="Suite 750"/>
    <x v="1"/>
    <x v="1"/>
    <n v="10022"/>
    <x v="1"/>
    <s v="NA"/>
    <s v="Hernandez"/>
    <s v="Maria"/>
    <s v="Medium"/>
  </r>
  <r>
    <n v="10127"/>
    <x v="2"/>
    <n v="96.99"/>
    <n v="7"/>
    <x v="191"/>
    <x v="11"/>
    <x v="1"/>
    <x v="2"/>
    <x v="69"/>
    <s v="Muscle Machine Inc"/>
    <n v="2125557413"/>
    <s v="4092 Furth Circle"/>
    <s v="Suite 400"/>
    <x v="1"/>
    <x v="1"/>
    <n v="10022"/>
    <x v="1"/>
    <s v="NA"/>
    <s v="Young"/>
    <s v="Jeff"/>
    <s v="Small"/>
  </r>
  <r>
    <n v="10349"/>
    <x v="1"/>
    <n v="100"/>
    <n v="2"/>
    <x v="192"/>
    <x v="14"/>
    <x v="1"/>
    <x v="2"/>
    <x v="69"/>
    <s v="Muscle Machine Inc"/>
    <n v="2125557413"/>
    <s v="4092 Furth Circle"/>
    <s v="Suite 400"/>
    <x v="1"/>
    <x v="1"/>
    <n v="10022"/>
    <x v="1"/>
    <s v="NA"/>
    <s v="Young"/>
    <s v="Jeff"/>
    <s v="Medium"/>
  </r>
  <r>
    <n v="10139"/>
    <x v="6"/>
    <n v="100"/>
    <n v="4"/>
    <x v="193"/>
    <x v="21"/>
    <x v="3"/>
    <x v="60"/>
    <x v="70"/>
    <s v="Souveniers And Things Co."/>
    <s v="+61 2 9495 8555"/>
    <s v="Monitor Money Building, 815 Pacific Hwy"/>
    <s v="Level 6"/>
    <x v="2"/>
    <x v="2"/>
    <n v="2067"/>
    <x v="0"/>
    <s v="APAC"/>
    <s v="Huxley"/>
    <s v="Adrian"/>
    <s v="Medium"/>
  </r>
  <r>
    <n v="10163"/>
    <x v="17"/>
    <n v="91.55"/>
    <n v="5"/>
    <x v="194"/>
    <x v="3"/>
    <x v="3"/>
    <x v="60"/>
    <x v="70"/>
    <s v="Classic Legends Inc."/>
    <n v="2125558493"/>
    <s v="5905 Pompton St."/>
    <s v="Suite 750"/>
    <x v="1"/>
    <x v="1"/>
    <n v="10022"/>
    <x v="1"/>
    <s v="NA"/>
    <s v="Hernandez"/>
    <s v="Maria"/>
    <s v="Medium"/>
  </r>
  <r>
    <n v="10324"/>
    <x v="24"/>
    <n v="100"/>
    <n v="3"/>
    <x v="195"/>
    <x v="13"/>
    <x v="3"/>
    <x v="60"/>
    <x v="70"/>
    <s v="Vitachrome Inc."/>
    <n v="2125551500"/>
    <s v="2678 Kingston Rd."/>
    <s v="Suite 101"/>
    <x v="1"/>
    <x v="1"/>
    <n v="10022"/>
    <x v="1"/>
    <s v="NA"/>
    <s v="Frick"/>
    <s v="Michael"/>
    <s v="Medium"/>
  </r>
  <r>
    <n v="10120"/>
    <x v="6"/>
    <n v="85.49"/>
    <n v="9"/>
    <x v="196"/>
    <x v="7"/>
    <x v="4"/>
    <x v="61"/>
    <x v="71"/>
    <s v="Australian Collectors, Co."/>
    <s v="03 9520 4555"/>
    <s v="636 St Kilda Road"/>
    <s v="Level 3"/>
    <x v="0"/>
    <x v="0"/>
    <n v="3004"/>
    <x v="0"/>
    <s v="APAC"/>
    <s v="Ferguson"/>
    <s v="Peter"/>
    <s v="Small"/>
  </r>
  <r>
    <n v="10223"/>
    <x v="1"/>
    <n v="74.62"/>
    <n v="10"/>
    <x v="197"/>
    <x v="0"/>
    <x v="4"/>
    <x v="61"/>
    <x v="71"/>
    <s v="Australian Collectors, Co."/>
    <s v="03 9520 4555"/>
    <s v="636 St Kilda Road"/>
    <s v="Level 3"/>
    <x v="0"/>
    <x v="0"/>
    <n v="3004"/>
    <x v="0"/>
    <s v="APAC"/>
    <s v="Ferguson"/>
    <s v="Peter"/>
    <s v="Small"/>
  </r>
  <r>
    <n v="10361"/>
    <x v="12"/>
    <n v="62.46"/>
    <n v="1"/>
    <x v="198"/>
    <x v="2"/>
    <x v="4"/>
    <x v="61"/>
    <x v="71"/>
    <s v="Souveniers And Things Co."/>
    <s v="+61 2 9495 8555"/>
    <s v="Monitor Money Building, 815 Pacific Hwy"/>
    <s v="Level 6"/>
    <x v="2"/>
    <x v="2"/>
    <n v="2067"/>
    <x v="0"/>
    <s v="APAC"/>
    <s v="Huxley"/>
    <s v="Adrian"/>
    <s v="Small"/>
  </r>
  <r>
    <n v="10169"/>
    <x v="5"/>
    <n v="94.58"/>
    <n v="6"/>
    <x v="199"/>
    <x v="10"/>
    <x v="1"/>
    <x v="31"/>
    <x v="72"/>
    <s v="Anna's Decorations, Ltd"/>
    <s v="02 9936 8555"/>
    <s v="201 Miller Street"/>
    <s v="Level 15"/>
    <x v="3"/>
    <x v="2"/>
    <n v="2060"/>
    <x v="0"/>
    <s v="APAC"/>
    <s v="O'Hara"/>
    <s v="Anna"/>
    <s v="Small"/>
  </r>
  <r>
    <n v="10319"/>
    <x v="20"/>
    <n v="85.69"/>
    <n v="2"/>
    <x v="200"/>
    <x v="12"/>
    <x v="1"/>
    <x v="31"/>
    <x v="72"/>
    <s v="Microscale Inc."/>
    <n v="2125551957"/>
    <s v="5290 North Pendale Street"/>
    <s v="Suite 200"/>
    <x v="1"/>
    <x v="1"/>
    <n v="10022"/>
    <x v="1"/>
    <s v="NA"/>
    <s v="Kuo"/>
    <s v="Kee"/>
    <s v="Medium"/>
  </r>
  <r>
    <n v="10270"/>
    <x v="13"/>
    <n v="85.72"/>
    <n v="1"/>
    <x v="201"/>
    <x v="4"/>
    <x v="2"/>
    <x v="62"/>
    <x v="73"/>
    <s v="Souveniers And Things Co."/>
    <s v="+61 2 9495 8555"/>
    <s v="Monitor Money Building, 815 Pacific Hwy"/>
    <s v="Level 6"/>
    <x v="2"/>
    <x v="2"/>
    <n v="2067"/>
    <x v="0"/>
    <s v="APAC"/>
    <s v="Huxley"/>
    <s v="Adrian"/>
    <s v="Small"/>
  </r>
  <r>
    <n v="10324"/>
    <x v="2"/>
    <n v="98.18"/>
    <n v="11"/>
    <x v="202"/>
    <x v="13"/>
    <x v="2"/>
    <x v="62"/>
    <x v="73"/>
    <s v="Vitachrome Inc."/>
    <n v="2125551500"/>
    <s v="2678 Kingston Rd."/>
    <s v="Suite 101"/>
    <x v="1"/>
    <x v="1"/>
    <n v="10022"/>
    <x v="1"/>
    <s v="NA"/>
    <s v="Frick"/>
    <s v="Michael"/>
    <s v="Small"/>
  </r>
  <r>
    <n v="10120"/>
    <x v="27"/>
    <n v="100"/>
    <n v="6"/>
    <x v="203"/>
    <x v="7"/>
    <x v="0"/>
    <x v="32"/>
    <x v="74"/>
    <s v="Australian Collectors, Co."/>
    <s v="03 9520 4555"/>
    <s v="636 St Kilda Road"/>
    <s v="Level 3"/>
    <x v="0"/>
    <x v="0"/>
    <n v="3004"/>
    <x v="0"/>
    <s v="APAC"/>
    <s v="Ferguson"/>
    <s v="Peter"/>
    <s v="Small"/>
  </r>
  <r>
    <n v="10223"/>
    <x v="3"/>
    <n v="100"/>
    <n v="7"/>
    <x v="204"/>
    <x v="0"/>
    <x v="0"/>
    <x v="32"/>
    <x v="74"/>
    <s v="Australian Collectors, Co."/>
    <s v="03 9520 4555"/>
    <s v="636 St Kilda Road"/>
    <s v="Level 3"/>
    <x v="0"/>
    <x v="0"/>
    <n v="3004"/>
    <x v="0"/>
    <s v="APAC"/>
    <s v="Ferguson"/>
    <s v="Peter"/>
    <s v="Small"/>
  </r>
  <r>
    <n v="10169"/>
    <x v="8"/>
    <n v="39.83"/>
    <n v="9"/>
    <x v="205"/>
    <x v="10"/>
    <x v="0"/>
    <x v="63"/>
    <x v="75"/>
    <s v="Anna's Decorations, Ltd"/>
    <s v="02 9936 8555"/>
    <s v="201 Miller Street"/>
    <s v="Level 15"/>
    <x v="3"/>
    <x v="2"/>
    <n v="2060"/>
    <x v="0"/>
    <s v="APAC"/>
    <s v="O'Hara"/>
    <s v="Anna"/>
    <s v="Small"/>
  </r>
  <r>
    <n v="10237"/>
    <x v="8"/>
    <n v="40.229999999999997"/>
    <n v="2"/>
    <x v="206"/>
    <x v="1"/>
    <x v="0"/>
    <x v="63"/>
    <x v="75"/>
    <s v="Vitachrome Inc."/>
    <n v="2125551500"/>
    <s v="2678 Kingston Rd."/>
    <s v="Suite 101"/>
    <x v="1"/>
    <x v="1"/>
    <n v="10022"/>
    <x v="1"/>
    <s v="NA"/>
    <s v="Frick"/>
    <s v="Michael"/>
    <s v="Small"/>
  </r>
  <r>
    <n v="10319"/>
    <x v="6"/>
    <n v="38.22"/>
    <n v="5"/>
    <x v="207"/>
    <x v="12"/>
    <x v="0"/>
    <x v="63"/>
    <x v="75"/>
    <s v="Microscale Inc."/>
    <n v="2125551957"/>
    <s v="5290 North Pendale Street"/>
    <s v="Suite 200"/>
    <x v="1"/>
    <x v="1"/>
    <n v="10022"/>
    <x v="1"/>
    <s v="NA"/>
    <s v="Kuo"/>
    <s v="Kee"/>
    <s v="Small"/>
  </r>
  <r>
    <n v="10127"/>
    <x v="28"/>
    <n v="51.95"/>
    <n v="13"/>
    <x v="208"/>
    <x v="11"/>
    <x v="2"/>
    <x v="64"/>
    <x v="76"/>
    <s v="Muscle Machine Inc"/>
    <n v="2125557413"/>
    <s v="4092 Furth Circle"/>
    <s v="Suite 400"/>
    <x v="1"/>
    <x v="1"/>
    <n v="10022"/>
    <x v="1"/>
    <s v="NA"/>
    <s v="Young"/>
    <s v="Jeff"/>
    <s v="Small"/>
  </r>
  <r>
    <n v="10349"/>
    <x v="24"/>
    <n v="46.53"/>
    <n v="1"/>
    <x v="209"/>
    <x v="14"/>
    <x v="2"/>
    <x v="64"/>
    <x v="76"/>
    <s v="Muscle Machine Inc"/>
    <n v="2125557413"/>
    <s v="4092 Furth Circle"/>
    <s v="Suite 400"/>
    <x v="1"/>
    <x v="1"/>
    <n v="10022"/>
    <x v="1"/>
    <s v="NA"/>
    <s v="Young"/>
    <s v="Jeff"/>
    <s v="Small"/>
  </r>
  <r>
    <n v="10127"/>
    <x v="6"/>
    <n v="70.84"/>
    <n v="6"/>
    <x v="210"/>
    <x v="11"/>
    <x v="6"/>
    <x v="28"/>
    <x v="77"/>
    <s v="Muscle Machine Inc"/>
    <n v="2125557413"/>
    <s v="4092 Furth Circle"/>
    <s v="Suite 400"/>
    <x v="1"/>
    <x v="1"/>
    <n v="10022"/>
    <x v="1"/>
    <s v="NA"/>
    <s v="Young"/>
    <s v="Jeff"/>
    <s v="Small"/>
  </r>
  <r>
    <n v="10270"/>
    <x v="3"/>
    <n v="63.35"/>
    <n v="5"/>
    <x v="211"/>
    <x v="4"/>
    <x v="2"/>
    <x v="65"/>
    <x v="78"/>
    <s v="Souveniers And Things Co."/>
    <s v="+61 2 9495 8555"/>
    <s v="Monitor Money Building, 815 Pacific Hwy"/>
    <s v="Level 6"/>
    <x v="2"/>
    <x v="2"/>
    <n v="2067"/>
    <x v="0"/>
    <s v="APAC"/>
    <s v="Huxley"/>
    <s v="Adrian"/>
    <s v="Small"/>
  </r>
  <r>
    <n v="10324"/>
    <x v="19"/>
    <n v="100"/>
    <n v="4"/>
    <x v="212"/>
    <x v="13"/>
    <x v="2"/>
    <x v="65"/>
    <x v="78"/>
    <s v="Vitachrome Inc."/>
    <n v="2125551500"/>
    <s v="2678 Kingston Rd."/>
    <s v="Suite 101"/>
    <x v="1"/>
    <x v="1"/>
    <n v="10022"/>
    <x v="1"/>
    <s v="NA"/>
    <s v="Frick"/>
    <s v="Michael"/>
    <s v="Large"/>
  </r>
  <r>
    <n v="10370"/>
    <x v="12"/>
    <n v="100"/>
    <n v="3"/>
    <x v="213"/>
    <x v="9"/>
    <x v="2"/>
    <x v="65"/>
    <x v="78"/>
    <s v="Anna's Decorations, Ltd"/>
    <s v="02 9936 8555"/>
    <s v="201 Miller Street"/>
    <s v="Level 15"/>
    <x v="3"/>
    <x v="2"/>
    <n v="2060"/>
    <x v="0"/>
    <s v="APAC"/>
    <s v="O'Hara"/>
    <s v="Anna"/>
    <s v="Medium"/>
  </r>
  <r>
    <n v="10120"/>
    <x v="6"/>
    <n v="72.23"/>
    <n v="11"/>
    <x v="214"/>
    <x v="7"/>
    <x v="3"/>
    <x v="58"/>
    <x v="79"/>
    <s v="Australian Collectors, Co."/>
    <s v="03 9520 4555"/>
    <s v="636 St Kilda Road"/>
    <s v="Level 3"/>
    <x v="0"/>
    <x v="0"/>
    <n v="3004"/>
    <x v="0"/>
    <s v="APAC"/>
    <s v="Ferguson"/>
    <s v="Peter"/>
    <s v="Small"/>
  </r>
  <r>
    <n v="10223"/>
    <x v="2"/>
    <n v="66.040000000000006"/>
    <n v="12"/>
    <x v="215"/>
    <x v="0"/>
    <x v="3"/>
    <x v="58"/>
    <x v="79"/>
    <s v="Australian Collectors, Co."/>
    <s v="03 9520 4555"/>
    <s v="636 St Kilda Road"/>
    <s v="Level 3"/>
    <x v="0"/>
    <x v="0"/>
    <n v="3004"/>
    <x v="0"/>
    <s v="APAC"/>
    <s v="Ferguson"/>
    <s v="Peter"/>
    <s v="Small"/>
  </r>
  <r>
    <n v="10361"/>
    <x v="10"/>
    <n v="72.33"/>
    <n v="2"/>
    <x v="216"/>
    <x v="2"/>
    <x v="3"/>
    <x v="58"/>
    <x v="79"/>
    <s v="Souveniers And Things Co."/>
    <s v="+61 2 9495 8555"/>
    <s v="Monitor Money Building, 815 Pacific Hwy"/>
    <s v="Level 6"/>
    <x v="2"/>
    <x v="2"/>
    <n v="2067"/>
    <x v="0"/>
    <s v="APAC"/>
    <s v="Huxley"/>
    <s v="Adrian"/>
    <s v="Medium"/>
  </r>
  <r>
    <n v="10169"/>
    <x v="31"/>
    <n v="100"/>
    <n v="12"/>
    <x v="217"/>
    <x v="10"/>
    <x v="0"/>
    <x v="14"/>
    <x v="80"/>
    <s v="Anna's Decorations, Ltd"/>
    <s v="02 9936 8555"/>
    <s v="201 Miller Street"/>
    <s v="Level 15"/>
    <x v="3"/>
    <x v="2"/>
    <n v="2060"/>
    <x v="0"/>
    <s v="APAC"/>
    <s v="O'Hara"/>
    <s v="Anna"/>
    <s v="Medium"/>
  </r>
  <r>
    <n v="10237"/>
    <x v="14"/>
    <n v="100"/>
    <n v="5"/>
    <x v="218"/>
    <x v="1"/>
    <x v="0"/>
    <x v="14"/>
    <x v="80"/>
    <s v="Vitachrome Inc."/>
    <n v="2125551500"/>
    <s v="2678 Kingston Rd."/>
    <s v="Suite 101"/>
    <x v="1"/>
    <x v="1"/>
    <n v="10022"/>
    <x v="1"/>
    <s v="NA"/>
    <s v="Frick"/>
    <s v="Michael"/>
    <s v="Medium"/>
  </r>
  <r>
    <n v="10319"/>
    <x v="27"/>
    <n v="100"/>
    <n v="8"/>
    <x v="219"/>
    <x v="12"/>
    <x v="0"/>
    <x v="14"/>
    <x v="80"/>
    <s v="Microscale Inc."/>
    <n v="2125551957"/>
    <s v="5290 North Pendale Street"/>
    <s v="Suite 200"/>
    <x v="1"/>
    <x v="1"/>
    <n v="10022"/>
    <x v="1"/>
    <s v="NA"/>
    <s v="Kuo"/>
    <s v="Kee"/>
    <s v="Small"/>
  </r>
  <r>
    <n v="10120"/>
    <x v="10"/>
    <n v="50.62"/>
    <n v="12"/>
    <x v="220"/>
    <x v="7"/>
    <x v="3"/>
    <x v="66"/>
    <x v="81"/>
    <s v="Australian Collectors, Co."/>
    <s v="03 9520 4555"/>
    <s v="636 St Kilda Road"/>
    <s v="Level 3"/>
    <x v="0"/>
    <x v="0"/>
    <n v="3004"/>
    <x v="0"/>
    <s v="APAC"/>
    <s v="Ferguson"/>
    <s v="Peter"/>
    <s v="Small"/>
  </r>
  <r>
    <n v="10223"/>
    <x v="23"/>
    <n v="46.26"/>
    <n v="13"/>
    <x v="221"/>
    <x v="0"/>
    <x v="3"/>
    <x v="66"/>
    <x v="81"/>
    <s v="Australian Collectors, Co."/>
    <s v="03 9520 4555"/>
    <s v="636 St Kilda Road"/>
    <s v="Level 3"/>
    <x v="0"/>
    <x v="0"/>
    <n v="3004"/>
    <x v="0"/>
    <s v="APAC"/>
    <s v="Ferguson"/>
    <s v="Peter"/>
    <s v="Small"/>
  </r>
  <r>
    <n v="10361"/>
    <x v="24"/>
    <n v="82.59"/>
    <n v="3"/>
    <x v="222"/>
    <x v="2"/>
    <x v="3"/>
    <x v="66"/>
    <x v="81"/>
    <s v="Souveniers And Things Co."/>
    <s v="+61 2 9495 8555"/>
    <s v="Monitor Money Building, 815 Pacific Hwy"/>
    <s v="Level 6"/>
    <x v="2"/>
    <x v="2"/>
    <n v="2067"/>
    <x v="0"/>
    <s v="APAC"/>
    <s v="Huxley"/>
    <s v="Adrian"/>
    <s v="Small"/>
  </r>
  <r>
    <n v="10115"/>
    <x v="14"/>
    <n v="100"/>
    <n v="3"/>
    <x v="223"/>
    <x v="15"/>
    <x v="2"/>
    <x v="67"/>
    <x v="82"/>
    <s v="Classic Legends Inc."/>
    <n v="2125558493"/>
    <s v="5905 Pompton St."/>
    <s v="Suite 750"/>
    <x v="1"/>
    <x v="1"/>
    <n v="10022"/>
    <x v="1"/>
    <s v="NA"/>
    <s v="Hernandez"/>
    <s v="Maria"/>
    <s v="Small"/>
  </r>
  <r>
    <n v="10127"/>
    <x v="9"/>
    <n v="100"/>
    <n v="9"/>
    <x v="224"/>
    <x v="11"/>
    <x v="2"/>
    <x v="67"/>
    <x v="82"/>
    <s v="Muscle Machine Inc"/>
    <n v="2125557413"/>
    <s v="4092 Furth Circle"/>
    <s v="Suite 400"/>
    <x v="1"/>
    <x v="1"/>
    <n v="10022"/>
    <x v="1"/>
    <s v="NA"/>
    <s v="Young"/>
    <s v="Jeff"/>
    <s v="Medium"/>
  </r>
  <r>
    <n v="10127"/>
    <x v="9"/>
    <n v="69.12"/>
    <n v="4"/>
    <x v="225"/>
    <x v="11"/>
    <x v="6"/>
    <x v="68"/>
    <x v="83"/>
    <s v="Muscle Machine Inc"/>
    <n v="2125557413"/>
    <s v="4092 Furth Circle"/>
    <s v="Suite 400"/>
    <x v="1"/>
    <x v="1"/>
    <n v="10022"/>
    <x v="1"/>
    <s v="NA"/>
    <s v="Young"/>
    <s v="Jeff"/>
    <s v="Medium"/>
  </r>
  <r>
    <n v="10337"/>
    <x v="3"/>
    <n v="100"/>
    <n v="6"/>
    <x v="226"/>
    <x v="8"/>
    <x v="6"/>
    <x v="68"/>
    <x v="83"/>
    <s v="Classic Legends Inc."/>
    <n v="2125558493"/>
    <s v="5905 Pompton St."/>
    <s v="Suite 750"/>
    <x v="1"/>
    <x v="1"/>
    <n v="10022"/>
    <x v="1"/>
    <s v="NA"/>
    <s v="Hernandez"/>
    <s v="Maria"/>
    <s v="Small"/>
  </r>
  <r>
    <n v="10169"/>
    <x v="19"/>
    <n v="80.55"/>
    <n v="10"/>
    <x v="227"/>
    <x v="10"/>
    <x v="0"/>
    <x v="69"/>
    <x v="84"/>
    <s v="Anna's Decorations, Ltd"/>
    <s v="02 9936 8555"/>
    <s v="201 Miller Street"/>
    <s v="Level 15"/>
    <x v="3"/>
    <x v="2"/>
    <n v="2060"/>
    <x v="0"/>
    <s v="APAC"/>
    <s v="O'Hara"/>
    <s v="Anna"/>
    <s v="Medium"/>
  </r>
  <r>
    <n v="10237"/>
    <x v="2"/>
    <n v="68.34"/>
    <n v="3"/>
    <x v="228"/>
    <x v="1"/>
    <x v="0"/>
    <x v="69"/>
    <x v="84"/>
    <s v="Vitachrome Inc."/>
    <n v="2125551500"/>
    <s v="2678 Kingston Rd."/>
    <s v="Suite 101"/>
    <x v="1"/>
    <x v="1"/>
    <n v="10022"/>
    <x v="1"/>
    <s v="NA"/>
    <s v="Frick"/>
    <s v="Michael"/>
    <s v="Small"/>
  </r>
  <r>
    <n v="10319"/>
    <x v="28"/>
    <n v="77.290000000000006"/>
    <n v="6"/>
    <x v="229"/>
    <x v="12"/>
    <x v="0"/>
    <x v="69"/>
    <x v="84"/>
    <s v="Microscale Inc."/>
    <n v="2125551957"/>
    <s v="5290 North Pendale Street"/>
    <s v="Suite 200"/>
    <x v="1"/>
    <x v="1"/>
    <n v="10022"/>
    <x v="1"/>
    <s v="NA"/>
    <s v="Kuo"/>
    <s v="Kee"/>
    <s v="Medium"/>
  </r>
  <r>
    <n v="10120"/>
    <x v="7"/>
    <n v="82.21"/>
    <n v="13"/>
    <x v="230"/>
    <x v="7"/>
    <x v="4"/>
    <x v="70"/>
    <x v="85"/>
    <s v="Australian Collectors, Co."/>
    <s v="03 9520 4555"/>
    <s v="636 St Kilda Road"/>
    <s v="Level 3"/>
    <x v="0"/>
    <x v="0"/>
    <n v="3004"/>
    <x v="0"/>
    <s v="APAC"/>
    <s v="Ferguson"/>
    <s v="Peter"/>
    <s v="Medium"/>
  </r>
  <r>
    <n v="10223"/>
    <x v="12"/>
    <n v="100"/>
    <n v="14"/>
    <x v="231"/>
    <x v="0"/>
    <x v="4"/>
    <x v="70"/>
    <x v="85"/>
    <s v="Australian Collectors, Co."/>
    <s v="03 9520 4555"/>
    <s v="636 St Kilda Road"/>
    <s v="Level 3"/>
    <x v="0"/>
    <x v="0"/>
    <n v="3004"/>
    <x v="0"/>
    <s v="APAC"/>
    <s v="Ferguson"/>
    <s v="Peter"/>
    <s v="Small"/>
  </r>
  <r>
    <n v="10361"/>
    <x v="2"/>
    <n v="60.54"/>
    <n v="4"/>
    <x v="232"/>
    <x v="2"/>
    <x v="4"/>
    <x v="70"/>
    <x v="85"/>
    <s v="Souveniers And Things Co."/>
    <s v="+61 2 9495 8555"/>
    <s v="Monitor Money Building, 815 Pacific Hwy"/>
    <s v="Level 6"/>
    <x v="2"/>
    <x v="2"/>
    <n v="2067"/>
    <x v="0"/>
    <s v="APAC"/>
    <s v="Huxley"/>
    <s v="Adrian"/>
    <s v="Small"/>
  </r>
  <r>
    <n v="10337"/>
    <x v="18"/>
    <n v="70.3"/>
    <n v="9"/>
    <x v="233"/>
    <x v="8"/>
    <x v="5"/>
    <x v="71"/>
    <x v="86"/>
    <s v="Classic Legends Inc."/>
    <n v="2125558493"/>
    <s v="5905 Pompton St."/>
    <s v="Suite 750"/>
    <x v="1"/>
    <x v="1"/>
    <n v="10022"/>
    <x v="1"/>
    <s v="NA"/>
    <s v="Hernandez"/>
    <s v="Maria"/>
    <s v="Small"/>
  </r>
  <r>
    <n v="10361"/>
    <x v="5"/>
    <n v="45.39"/>
    <n v="14"/>
    <x v="234"/>
    <x v="2"/>
    <x v="5"/>
    <x v="49"/>
    <x v="87"/>
    <s v="Souveniers And Things Co."/>
    <s v="+61 2 9495 8555"/>
    <s v="Monitor Money Building, 815 Pacific Hwy"/>
    <s v="Level 6"/>
    <x v="2"/>
    <x v="2"/>
    <n v="2067"/>
    <x v="0"/>
    <s v="APAC"/>
    <s v="Huxley"/>
    <s v="Adrian"/>
    <s v="Small"/>
  </r>
  <r>
    <n v="10120"/>
    <x v="5"/>
    <n v="100"/>
    <n v="15"/>
    <x v="235"/>
    <x v="7"/>
    <x v="4"/>
    <x v="32"/>
    <x v="88"/>
    <s v="Australian Collectors, Co."/>
    <s v="03 9520 4555"/>
    <s v="636 St Kilda Road"/>
    <s v="Level 3"/>
    <x v="0"/>
    <x v="0"/>
    <n v="3004"/>
    <x v="0"/>
    <s v="APAC"/>
    <s v="Ferguson"/>
    <s v="Peter"/>
    <s v="Small"/>
  </r>
  <r>
    <n v="10361"/>
    <x v="8"/>
    <n v="100"/>
    <n v="9"/>
    <x v="236"/>
    <x v="2"/>
    <x v="4"/>
    <x v="32"/>
    <x v="88"/>
    <s v="Souveniers And Things Co."/>
    <s v="+61 2 9495 8555"/>
    <s v="Monitor Money Building, 815 Pacific Hwy"/>
    <s v="Level 6"/>
    <x v="2"/>
    <x v="2"/>
    <n v="2067"/>
    <x v="0"/>
    <s v="APAC"/>
    <s v="Huxley"/>
    <s v="Adrian"/>
    <s v="Small"/>
  </r>
  <r>
    <n v="10270"/>
    <x v="9"/>
    <n v="88"/>
    <n v="4"/>
    <x v="237"/>
    <x v="4"/>
    <x v="1"/>
    <x v="27"/>
    <x v="89"/>
    <s v="Souveniers And Things Co."/>
    <s v="+61 2 9495 8555"/>
    <s v="Monitor Money Building, 815 Pacific Hwy"/>
    <s v="Level 6"/>
    <x v="2"/>
    <x v="2"/>
    <n v="2067"/>
    <x v="0"/>
    <s v="APAC"/>
    <s v="Huxley"/>
    <s v="Adrian"/>
    <s v="Medium"/>
  </r>
  <r>
    <n v="10324"/>
    <x v="31"/>
    <n v="100"/>
    <n v="5"/>
    <x v="238"/>
    <x v="13"/>
    <x v="1"/>
    <x v="27"/>
    <x v="89"/>
    <s v="Vitachrome Inc."/>
    <n v="2125551500"/>
    <s v="2678 Kingston Rd."/>
    <s v="Suite 101"/>
    <x v="1"/>
    <x v="1"/>
    <n v="10022"/>
    <x v="1"/>
    <s v="NA"/>
    <s v="Frick"/>
    <s v="Michael"/>
    <s v="Medium"/>
  </r>
  <r>
    <n v="10120"/>
    <x v="5"/>
    <n v="100"/>
    <n v="7"/>
    <x v="239"/>
    <x v="7"/>
    <x v="4"/>
    <x v="2"/>
    <x v="90"/>
    <s v="Australian Collectors, Co."/>
    <s v="03 9520 4555"/>
    <s v="636 St Kilda Road"/>
    <s v="Level 3"/>
    <x v="0"/>
    <x v="0"/>
    <n v="3004"/>
    <x v="0"/>
    <s v="APAC"/>
    <s v="Ferguson"/>
    <s v="Peter"/>
    <s v="Medium"/>
  </r>
  <r>
    <n v="10223"/>
    <x v="6"/>
    <n v="100"/>
    <n v="8"/>
    <x v="240"/>
    <x v="0"/>
    <x v="4"/>
    <x v="2"/>
    <x v="90"/>
    <s v="Australian Collectors, Co."/>
    <s v="03 9520 4555"/>
    <s v="636 St Kilda Road"/>
    <s v="Level 3"/>
    <x v="0"/>
    <x v="0"/>
    <n v="3004"/>
    <x v="0"/>
    <s v="APAC"/>
    <s v="Ferguson"/>
    <s v="Peter"/>
    <s v="Medium"/>
  </r>
  <r>
    <n v="10361"/>
    <x v="30"/>
    <n v="72.42"/>
    <n v="5"/>
    <x v="241"/>
    <x v="2"/>
    <x v="4"/>
    <x v="2"/>
    <x v="90"/>
    <s v="Souveniers And Things Co."/>
    <s v="+61 2 9495 8555"/>
    <s v="Monitor Money Building, 815 Pacific Hwy"/>
    <s v="Level 6"/>
    <x v="2"/>
    <x v="2"/>
    <n v="2067"/>
    <x v="0"/>
    <s v="APAC"/>
    <s v="Huxley"/>
    <s v="Adrian"/>
    <s v="Medium"/>
  </r>
  <r>
    <n v="10120"/>
    <x v="20"/>
    <n v="76"/>
    <n v="14"/>
    <x v="242"/>
    <x v="7"/>
    <x v="4"/>
    <x v="31"/>
    <x v="91"/>
    <s v="Australian Collectors, Co."/>
    <s v="03 9520 4555"/>
    <s v="636 St Kilda Road"/>
    <s v="Level 3"/>
    <x v="0"/>
    <x v="0"/>
    <n v="3004"/>
    <x v="0"/>
    <s v="APAC"/>
    <s v="Ferguson"/>
    <s v="Peter"/>
    <s v="Medium"/>
  </r>
  <r>
    <n v="10223"/>
    <x v="8"/>
    <n v="67.2"/>
    <n v="15"/>
    <x v="243"/>
    <x v="0"/>
    <x v="4"/>
    <x v="31"/>
    <x v="91"/>
    <s v="Australian Collectors, Co."/>
    <s v="03 9520 4555"/>
    <s v="636 St Kilda Road"/>
    <s v="Level 3"/>
    <x v="0"/>
    <x v="0"/>
    <n v="3004"/>
    <x v="0"/>
    <s v="APAC"/>
    <s v="Ferguson"/>
    <s v="Peter"/>
    <s v="Small"/>
  </r>
  <r>
    <n v="10361"/>
    <x v="30"/>
    <n v="100"/>
    <n v="10"/>
    <x v="244"/>
    <x v="2"/>
    <x v="4"/>
    <x v="31"/>
    <x v="91"/>
    <s v="Souveniers And Things Co."/>
    <s v="+61 2 9495 8555"/>
    <s v="Monitor Money Building, 815 Pacific Hwy"/>
    <s v="Level 6"/>
    <x v="2"/>
    <x v="2"/>
    <n v="2067"/>
    <x v="0"/>
    <s v="APAC"/>
    <s v="Huxley"/>
    <s v="Adrian"/>
    <s v="Medium"/>
  </r>
  <r>
    <n v="10337"/>
    <x v="22"/>
    <n v="89.38"/>
    <n v="1"/>
    <x v="245"/>
    <x v="8"/>
    <x v="5"/>
    <x v="72"/>
    <x v="92"/>
    <s v="Classic Legends Inc."/>
    <n v="2125558493"/>
    <s v="5905 Pompton St."/>
    <s v="Suite 750"/>
    <x v="1"/>
    <x v="1"/>
    <n v="10022"/>
    <x v="1"/>
    <s v="NA"/>
    <s v="Hernandez"/>
    <s v="Maria"/>
    <s v="Small"/>
  </r>
  <r>
    <n v="10337"/>
    <x v="18"/>
    <n v="71.89"/>
    <n v="7"/>
    <x v="246"/>
    <x v="8"/>
    <x v="5"/>
    <x v="32"/>
    <x v="93"/>
    <s v="Classic Legends Inc."/>
    <n v="2125558493"/>
    <s v="5905 Pompton St."/>
    <s v="Suite 750"/>
    <x v="1"/>
    <x v="1"/>
    <n v="10022"/>
    <x v="1"/>
    <s v="NA"/>
    <s v="Hernandez"/>
    <s v="Maria"/>
    <s v="Small"/>
  </r>
  <r>
    <n v="10361"/>
    <x v="15"/>
    <n v="100"/>
    <n v="11"/>
    <x v="247"/>
    <x v="2"/>
    <x v="4"/>
    <x v="73"/>
    <x v="94"/>
    <s v="Souveniers And Things Co."/>
    <s v="+61 2 9495 8555"/>
    <s v="Monitor Money Building, 815 Pacific Hwy"/>
    <s v="Level 6"/>
    <x v="2"/>
    <x v="2"/>
    <n v="2067"/>
    <x v="0"/>
    <s v="APAC"/>
    <s v="Huxley"/>
    <s v="Adrian"/>
    <s v="Medium"/>
  </r>
  <r>
    <n v="10361"/>
    <x v="1"/>
    <n v="95.2"/>
    <n v="12"/>
    <x v="248"/>
    <x v="2"/>
    <x v="4"/>
    <x v="74"/>
    <x v="95"/>
    <s v="Souveniers And Things Co."/>
    <s v="+61 2 9495 8555"/>
    <s v="Monitor Money Building, 815 Pacific Hwy"/>
    <s v="Level 6"/>
    <x v="2"/>
    <x v="2"/>
    <n v="2067"/>
    <x v="0"/>
    <s v="APAC"/>
    <s v="Huxley"/>
    <s v="Adrian"/>
    <s v="Small"/>
  </r>
  <r>
    <n v="10337"/>
    <x v="17"/>
    <n v="97.16"/>
    <n v="5"/>
    <x v="249"/>
    <x v="8"/>
    <x v="5"/>
    <x v="64"/>
    <x v="96"/>
    <s v="Classic Legends Inc."/>
    <n v="2125558493"/>
    <s v="5905 Pompton St."/>
    <s v="Suite 750"/>
    <x v="1"/>
    <x v="1"/>
    <n v="10022"/>
    <x v="1"/>
    <s v="NA"/>
    <s v="Hernandez"/>
    <s v="Maria"/>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4BEAFE-E74F-49B5-800B-8DD708A3147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3:B40" firstHeaderRow="1" firstDataRow="1" firstDataCol="1"/>
  <pivotFields count="21">
    <pivotField showAll="0"/>
    <pivotField showAll="0">
      <items count="36">
        <item x="34"/>
        <item x="2"/>
        <item x="3"/>
        <item x="27"/>
        <item x="1"/>
        <item x="5"/>
        <item x="12"/>
        <item x="8"/>
        <item x="14"/>
        <item x="16"/>
        <item x="6"/>
        <item x="4"/>
        <item x="22"/>
        <item x="13"/>
        <item x="24"/>
        <item x="31"/>
        <item x="15"/>
        <item x="18"/>
        <item x="0"/>
        <item x="26"/>
        <item x="11"/>
        <item x="21"/>
        <item x="23"/>
        <item x="17"/>
        <item x="20"/>
        <item x="30"/>
        <item x="28"/>
        <item x="9"/>
        <item x="7"/>
        <item x="19"/>
        <item x="10"/>
        <item x="29"/>
        <item x="25"/>
        <item x="33"/>
        <item x="32"/>
        <item t="default"/>
      </items>
    </pivotField>
    <pivotField showAll="0"/>
    <pivotField showAll="0"/>
    <pivotField showAll="0"/>
    <pivotField showAll="0"/>
    <pivotField axis="axisRow" showAll="0">
      <items count="8">
        <item x="1"/>
        <item x="0"/>
        <item x="4"/>
        <item x="5"/>
        <item x="6"/>
        <item x="2"/>
        <item x="3"/>
        <item t="default"/>
      </items>
    </pivotField>
    <pivotField dataField="1" showAll="0">
      <items count="76">
        <item x="45"/>
        <item x="50"/>
        <item x="52"/>
        <item x="63"/>
        <item x="59"/>
        <item x="66"/>
        <item x="47"/>
        <item x="74"/>
        <item x="38"/>
        <item x="15"/>
        <item x="64"/>
        <item x="42"/>
        <item x="68"/>
        <item x="21"/>
        <item x="54"/>
        <item x="28"/>
        <item x="65"/>
        <item x="55"/>
        <item x="58"/>
        <item x="48"/>
        <item x="40"/>
        <item x="61"/>
        <item x="41"/>
        <item x="73"/>
        <item x="46"/>
        <item x="18"/>
        <item x="11"/>
        <item x="31"/>
        <item x="69"/>
        <item x="24"/>
        <item x="53"/>
        <item x="71"/>
        <item x="36"/>
        <item x="49"/>
        <item x="70"/>
        <item x="35"/>
        <item x="0"/>
        <item x="62"/>
        <item x="60"/>
        <item x="32"/>
        <item x="72"/>
        <item x="27"/>
        <item x="14"/>
        <item x="29"/>
        <item x="56"/>
        <item x="44"/>
        <item x="43"/>
        <item x="67"/>
        <item x="12"/>
        <item x="51"/>
        <item x="2"/>
        <item x="37"/>
        <item x="22"/>
        <item x="16"/>
        <item x="23"/>
        <item x="26"/>
        <item x="4"/>
        <item x="57"/>
        <item x="13"/>
        <item x="19"/>
        <item x="34"/>
        <item x="33"/>
        <item x="5"/>
        <item x="39"/>
        <item x="8"/>
        <item x="9"/>
        <item x="20"/>
        <item x="25"/>
        <item x="30"/>
        <item x="17"/>
        <item x="10"/>
        <item x="3"/>
        <item x="6"/>
        <item x="7"/>
        <item x="1"/>
        <item t="default"/>
      </items>
    </pivotField>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 showAll="0"/>
  </pivotFields>
  <rowFields count="1">
    <field x="6"/>
  </rowFields>
  <rowItems count="7">
    <i>
      <x/>
    </i>
    <i>
      <x v="1"/>
    </i>
    <i>
      <x v="2"/>
    </i>
    <i>
      <x v="3"/>
    </i>
    <i>
      <x v="5"/>
    </i>
    <i>
      <x v="6"/>
    </i>
    <i t="grand">
      <x/>
    </i>
  </rowItems>
  <colItems count="1">
    <i/>
  </colItems>
  <dataFields count="1">
    <dataField name="Sum of MSRP" fld="7"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39410-63C1-41E9-B1E0-F9C9698375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16:H19" firstHeaderRow="1" firstDataRow="1" firstDataCol="1"/>
  <pivotFields count="21">
    <pivotField showAll="0"/>
    <pivotField showAll="0"/>
    <pivotField showAll="0"/>
    <pivotField showAll="0"/>
    <pivotField dataField="1" showAll="0">
      <items count="251">
        <item x="189"/>
        <item x="205"/>
        <item x="206"/>
        <item x="234"/>
        <item x="207"/>
        <item x="13"/>
        <item x="153"/>
        <item x="232"/>
        <item x="141"/>
        <item x="66"/>
        <item x="49"/>
        <item x="137"/>
        <item x="187"/>
        <item x="215"/>
        <item x="9"/>
        <item x="211"/>
        <item x="168"/>
        <item x="112"/>
        <item x="228"/>
        <item x="88"/>
        <item x="87"/>
        <item x="2"/>
        <item x="114"/>
        <item x="28"/>
        <item x="166"/>
        <item x="136"/>
        <item x="34"/>
        <item x="100"/>
        <item x="209"/>
        <item x="162"/>
        <item x="198"/>
        <item x="173"/>
        <item x="63"/>
        <item x="125"/>
        <item x="103"/>
        <item x="73"/>
        <item x="77"/>
        <item x="188"/>
        <item x="178"/>
        <item x="197"/>
        <item x="142"/>
        <item x="17"/>
        <item x="243"/>
        <item x="91"/>
        <item x="221"/>
        <item x="191"/>
        <item x="202"/>
        <item x="210"/>
        <item x="47"/>
        <item x="160"/>
        <item x="135"/>
        <item x="74"/>
        <item x="37"/>
        <item x="156"/>
        <item x="214"/>
        <item x="48"/>
        <item x="72"/>
        <item x="248"/>
        <item x="90"/>
        <item x="149"/>
        <item x="148"/>
        <item x="101"/>
        <item x="199"/>
        <item x="143"/>
        <item x="174"/>
        <item x="64"/>
        <item x="226"/>
        <item x="16"/>
        <item x="31"/>
        <item x="146"/>
        <item x="1"/>
        <item x="208"/>
        <item x="132"/>
        <item x="6"/>
        <item x="203"/>
        <item x="23"/>
        <item x="39"/>
        <item x="204"/>
        <item x="196"/>
        <item x="220"/>
        <item x="120"/>
        <item x="233"/>
        <item x="161"/>
        <item x="231"/>
        <item x="33"/>
        <item x="126"/>
        <item x="235"/>
        <item x="246"/>
        <item x="113"/>
        <item x="111"/>
        <item x="184"/>
        <item x="219"/>
        <item x="155"/>
        <item x="106"/>
        <item x="147"/>
        <item x="76"/>
        <item x="40"/>
        <item x="134"/>
        <item x="222"/>
        <item x="128"/>
        <item x="201"/>
        <item x="236"/>
        <item x="245"/>
        <item x="7"/>
        <item x="159"/>
        <item x="223"/>
        <item x="154"/>
        <item x="145"/>
        <item x="85"/>
        <item x="179"/>
        <item x="104"/>
        <item x="218"/>
        <item x="97"/>
        <item x="213"/>
        <item x="58"/>
        <item x="225"/>
        <item x="192"/>
        <item x="175"/>
        <item x="45"/>
        <item x="241"/>
        <item x="240"/>
        <item x="138"/>
        <item x="69"/>
        <item x="44"/>
        <item x="140"/>
        <item x="242"/>
        <item x="193"/>
        <item x="164"/>
        <item x="84"/>
        <item x="167"/>
        <item x="89"/>
        <item x="177"/>
        <item x="102"/>
        <item x="239"/>
        <item x="133"/>
        <item x="144"/>
        <item x="115"/>
        <item x="181"/>
        <item x="229"/>
        <item x="81"/>
        <item x="216"/>
        <item x="21"/>
        <item x="119"/>
        <item x="55"/>
        <item x="151"/>
        <item x="109"/>
        <item x="200"/>
        <item x="186"/>
        <item x="158"/>
        <item x="95"/>
        <item x="194"/>
        <item x="230"/>
        <item x="227"/>
        <item x="180"/>
        <item x="139"/>
        <item x="38"/>
        <item x="217"/>
        <item x="165"/>
        <item x="5"/>
        <item x="68"/>
        <item x="0"/>
        <item x="52"/>
        <item x="157"/>
        <item x="237"/>
        <item x="249"/>
        <item x="20"/>
        <item x="26"/>
        <item x="36"/>
        <item x="82"/>
        <item x="25"/>
        <item x="56"/>
        <item x="170"/>
        <item x="238"/>
        <item x="176"/>
        <item x="247"/>
        <item x="14"/>
        <item x="182"/>
        <item x="169"/>
        <item x="118"/>
        <item x="30"/>
        <item x="15"/>
        <item x="107"/>
        <item x="122"/>
        <item x="163"/>
        <item x="24"/>
        <item x="171"/>
        <item x="150"/>
        <item x="75"/>
        <item x="93"/>
        <item x="43"/>
        <item x="86"/>
        <item x="80"/>
        <item x="3"/>
        <item x="92"/>
        <item x="4"/>
        <item x="129"/>
        <item x="94"/>
        <item x="70"/>
        <item x="105"/>
        <item x="50"/>
        <item x="244"/>
        <item x="185"/>
        <item x="18"/>
        <item x="98"/>
        <item x="183"/>
        <item x="67"/>
        <item x="35"/>
        <item x="54"/>
        <item x="172"/>
        <item x="116"/>
        <item x="123"/>
        <item x="96"/>
        <item x="8"/>
        <item x="83"/>
        <item x="46"/>
        <item x="190"/>
        <item x="117"/>
        <item x="32"/>
        <item x="110"/>
        <item x="51"/>
        <item x="124"/>
        <item x="53"/>
        <item x="121"/>
        <item x="224"/>
        <item x="41"/>
        <item x="195"/>
        <item x="131"/>
        <item x="65"/>
        <item x="57"/>
        <item x="42"/>
        <item x="78"/>
        <item x="108"/>
        <item x="62"/>
        <item x="127"/>
        <item x="71"/>
        <item x="12"/>
        <item x="60"/>
        <item x="61"/>
        <item x="27"/>
        <item x="59"/>
        <item x="99"/>
        <item x="130"/>
        <item x="79"/>
        <item x="29"/>
        <item x="212"/>
        <item x="152"/>
        <item x="22"/>
        <item x="10"/>
        <item x="11"/>
        <item x="19"/>
        <item t="default"/>
      </items>
    </pivotField>
    <pivotField showAll="0"/>
    <pivotField showAll="0">
      <items count="8">
        <item x="1"/>
        <item x="0"/>
        <item x="4"/>
        <item x="5"/>
        <item x="6"/>
        <item x="2"/>
        <item x="3"/>
        <item t="default"/>
      </items>
    </pivotField>
    <pivotField showAll="0"/>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showAll="0">
      <items count="5">
        <item x="2"/>
        <item x="0"/>
        <item x="3"/>
        <item x="1"/>
        <item t="default"/>
      </items>
    </pivotField>
    <pivotField showAll="0">
      <items count="4">
        <item x="2"/>
        <item x="1"/>
        <item x="0"/>
        <item t="default"/>
      </items>
    </pivotField>
    <pivotField showAll="0"/>
    <pivotField axis="axisRow" showAll="0">
      <items count="3">
        <item x="0"/>
        <item x="1"/>
        <item t="default"/>
      </items>
    </pivotField>
    <pivotField showAll="0"/>
    <pivotField showAll="0"/>
    <pivotField showAll="0"/>
    <pivotField showAll="0"/>
  </pivotFields>
  <rowFields count="1">
    <field x="16"/>
  </rowFields>
  <rowItems count="3">
    <i>
      <x/>
    </i>
    <i>
      <x v="1"/>
    </i>
    <i t="grand">
      <x/>
    </i>
  </rowItems>
  <colItems count="1">
    <i/>
  </colItems>
  <dataFields count="1">
    <dataField name="Sum of SALES" fld="4" baseField="16" baseItem="1"/>
  </dataFields>
  <chartFormats count="3">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6" count="1" selected="0">
            <x v="1"/>
          </reference>
        </references>
      </pivotArea>
    </chartFormat>
    <chartFormat chart="14" format="4">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018858-EB35-4723-83EC-07C0A68E9679}"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A19:B30" firstHeaderRow="1" firstDataRow="1" firstDataCol="1"/>
  <pivotFields count="21">
    <pivotField showAll="0"/>
    <pivotField dataField="1" showAll="0">
      <items count="36">
        <item x="34"/>
        <item x="2"/>
        <item x="3"/>
        <item x="27"/>
        <item x="1"/>
        <item x="5"/>
        <item x="12"/>
        <item x="8"/>
        <item x="14"/>
        <item x="16"/>
        <item x="6"/>
        <item x="4"/>
        <item x="22"/>
        <item x="13"/>
        <item x="24"/>
        <item x="31"/>
        <item x="15"/>
        <item x="18"/>
        <item x="0"/>
        <item x="26"/>
        <item x="11"/>
        <item x="21"/>
        <item x="23"/>
        <item x="17"/>
        <item x="20"/>
        <item x="30"/>
        <item x="28"/>
        <item x="9"/>
        <item x="7"/>
        <item x="19"/>
        <item x="10"/>
        <item x="29"/>
        <item x="25"/>
        <item x="33"/>
        <item x="32"/>
        <item t="default"/>
      </items>
    </pivotField>
    <pivotField showAll="0"/>
    <pivotField showAll="0"/>
    <pivotField axis="axisRow" showAll="0">
      <items count="251">
        <item x="189"/>
        <item x="205"/>
        <item x="206"/>
        <item x="234"/>
        <item x="207"/>
        <item x="13"/>
        <item x="153"/>
        <item x="232"/>
        <item x="141"/>
        <item x="66"/>
        <item x="49"/>
        <item x="137"/>
        <item x="187"/>
        <item x="215"/>
        <item x="9"/>
        <item x="211"/>
        <item x="168"/>
        <item x="112"/>
        <item x="228"/>
        <item x="88"/>
        <item x="87"/>
        <item x="2"/>
        <item x="114"/>
        <item x="28"/>
        <item x="166"/>
        <item x="136"/>
        <item x="34"/>
        <item x="100"/>
        <item x="209"/>
        <item x="162"/>
        <item x="198"/>
        <item x="173"/>
        <item x="63"/>
        <item x="125"/>
        <item x="103"/>
        <item x="73"/>
        <item x="77"/>
        <item x="188"/>
        <item x="178"/>
        <item x="197"/>
        <item x="142"/>
        <item x="17"/>
        <item x="243"/>
        <item x="91"/>
        <item x="221"/>
        <item x="191"/>
        <item x="202"/>
        <item x="210"/>
        <item x="47"/>
        <item x="160"/>
        <item x="135"/>
        <item x="74"/>
        <item x="37"/>
        <item x="156"/>
        <item x="214"/>
        <item x="48"/>
        <item x="72"/>
        <item x="248"/>
        <item x="90"/>
        <item x="149"/>
        <item x="148"/>
        <item x="101"/>
        <item x="199"/>
        <item x="143"/>
        <item x="174"/>
        <item x="64"/>
        <item x="226"/>
        <item x="16"/>
        <item x="31"/>
        <item x="146"/>
        <item x="1"/>
        <item x="208"/>
        <item x="132"/>
        <item x="6"/>
        <item x="203"/>
        <item x="23"/>
        <item x="39"/>
        <item x="204"/>
        <item x="196"/>
        <item x="220"/>
        <item x="120"/>
        <item x="233"/>
        <item x="161"/>
        <item x="231"/>
        <item x="33"/>
        <item x="126"/>
        <item x="235"/>
        <item x="246"/>
        <item x="113"/>
        <item x="111"/>
        <item x="184"/>
        <item x="219"/>
        <item x="155"/>
        <item x="106"/>
        <item x="147"/>
        <item x="76"/>
        <item x="40"/>
        <item x="134"/>
        <item x="222"/>
        <item x="128"/>
        <item x="201"/>
        <item x="236"/>
        <item x="245"/>
        <item x="7"/>
        <item x="159"/>
        <item x="223"/>
        <item x="154"/>
        <item x="145"/>
        <item x="85"/>
        <item x="179"/>
        <item x="104"/>
        <item x="218"/>
        <item x="97"/>
        <item x="213"/>
        <item x="58"/>
        <item x="225"/>
        <item x="192"/>
        <item x="175"/>
        <item x="45"/>
        <item x="241"/>
        <item x="240"/>
        <item x="138"/>
        <item x="69"/>
        <item x="44"/>
        <item x="140"/>
        <item x="242"/>
        <item x="193"/>
        <item x="164"/>
        <item x="84"/>
        <item x="167"/>
        <item x="89"/>
        <item x="177"/>
        <item x="102"/>
        <item x="239"/>
        <item x="133"/>
        <item x="144"/>
        <item x="115"/>
        <item x="181"/>
        <item x="229"/>
        <item x="81"/>
        <item x="216"/>
        <item x="21"/>
        <item x="119"/>
        <item x="55"/>
        <item x="151"/>
        <item x="109"/>
        <item x="200"/>
        <item x="186"/>
        <item x="158"/>
        <item x="95"/>
        <item x="194"/>
        <item x="230"/>
        <item x="227"/>
        <item x="180"/>
        <item x="139"/>
        <item x="38"/>
        <item x="217"/>
        <item x="165"/>
        <item x="5"/>
        <item x="68"/>
        <item x="0"/>
        <item x="52"/>
        <item x="157"/>
        <item x="237"/>
        <item x="249"/>
        <item x="20"/>
        <item x="26"/>
        <item x="36"/>
        <item x="82"/>
        <item x="25"/>
        <item x="56"/>
        <item x="170"/>
        <item x="238"/>
        <item x="176"/>
        <item x="247"/>
        <item x="14"/>
        <item x="182"/>
        <item x="169"/>
        <item x="118"/>
        <item x="30"/>
        <item x="15"/>
        <item x="107"/>
        <item x="122"/>
        <item x="163"/>
        <item x="24"/>
        <item x="171"/>
        <item x="150"/>
        <item x="75"/>
        <item x="93"/>
        <item x="43"/>
        <item x="86"/>
        <item x="80"/>
        <item x="3"/>
        <item x="92"/>
        <item x="4"/>
        <item x="129"/>
        <item x="94"/>
        <item x="70"/>
        <item x="105"/>
        <item x="50"/>
        <item x="244"/>
        <item x="185"/>
        <item x="18"/>
        <item x="98"/>
        <item x="183"/>
        <item x="67"/>
        <item x="35"/>
        <item x="54"/>
        <item x="172"/>
        <item x="116"/>
        <item x="123"/>
        <item x="96"/>
        <item x="8"/>
        <item x="83"/>
        <item x="46"/>
        <item x="190"/>
        <item x="117"/>
        <item x="32"/>
        <item x="110"/>
        <item x="51"/>
        <item x="124"/>
        <item x="53"/>
        <item x="121"/>
        <item x="224"/>
        <item x="41"/>
        <item x="195"/>
        <item x="131"/>
        <item x="65"/>
        <item x="57"/>
        <item x="42"/>
        <item x="78"/>
        <item x="108"/>
        <item x="62"/>
        <item x="127"/>
        <item x="71"/>
        <item x="12"/>
        <item x="60"/>
        <item x="61"/>
        <item x="27"/>
        <item x="59"/>
        <item x="99"/>
        <item x="130"/>
        <item x="79"/>
        <item x="29"/>
        <item x="212"/>
        <item x="152"/>
        <item x="22"/>
        <item x="10"/>
        <item x="11"/>
        <item x="19"/>
        <item t="default"/>
      </items>
    </pivotField>
    <pivotField showAll="0">
      <items count="26">
        <item x="3"/>
        <item x="8"/>
        <item x="18"/>
        <item x="5"/>
        <item x="9"/>
        <item x="2"/>
        <item x="0"/>
        <item x="24"/>
        <item x="7"/>
        <item x="20"/>
        <item x="22"/>
        <item x="21"/>
        <item x="4"/>
        <item x="17"/>
        <item x="11"/>
        <item x="15"/>
        <item x="10"/>
        <item x="19"/>
        <item x="16"/>
        <item x="14"/>
        <item x="12"/>
        <item x="1"/>
        <item x="13"/>
        <item x="23"/>
        <item x="6"/>
        <item t="default"/>
      </items>
    </pivotField>
    <pivotField showAll="0">
      <items count="8">
        <item x="1"/>
        <item h="1" x="0"/>
        <item h="1" x="4"/>
        <item h="1" x="5"/>
        <item h="1" x="6"/>
        <item h="1" x="2"/>
        <item h="1" x="3"/>
        <item t="default"/>
      </items>
    </pivotField>
    <pivotField showAll="0"/>
    <pivotField showAll="0"/>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 showAll="0"/>
  </pivotFields>
  <rowFields count="1">
    <field x="4"/>
  </rowFields>
  <rowItems count="11">
    <i>
      <x v="50"/>
    </i>
    <i>
      <x v="59"/>
    </i>
    <i>
      <x v="90"/>
    </i>
    <i>
      <x v="131"/>
    </i>
    <i>
      <x v="154"/>
    </i>
    <i>
      <x v="157"/>
    </i>
    <i>
      <x v="163"/>
    </i>
    <i>
      <x v="175"/>
    </i>
    <i>
      <x v="194"/>
    </i>
    <i>
      <x v="208"/>
    </i>
    <i t="grand">
      <x/>
    </i>
  </rowItems>
  <colItems count="1">
    <i/>
  </colItems>
  <dataFields count="1">
    <dataField name="Sum of QUANTITYORDERED" fld="1" baseField="0" baseItem="0"/>
  </dataFields>
  <chartFormats count="8">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A3289A-ABC2-4DBA-B0F9-1AE282E683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D15" firstHeaderRow="1" firstDataRow="1" firstDataCol="0"/>
  <pivotFields count="21">
    <pivotField showAll="0"/>
    <pivotField showAll="0"/>
    <pivotField showAll="0"/>
    <pivotField showAll="0"/>
    <pivotField dataField="1" showAll="0"/>
    <pivotField showAll="0"/>
    <pivotField showAll="0">
      <items count="8">
        <item x="1"/>
        <item h="1" x="0"/>
        <item h="1" x="4"/>
        <item h="1" x="5"/>
        <item h="1" x="6"/>
        <item h="1" x="2"/>
        <item h="1" x="3"/>
        <item t="default"/>
      </items>
    </pivotField>
    <pivotField showAll="0"/>
    <pivotField showAll="0"/>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 showAll="0"/>
  </pivotFields>
  <rowItems count="1">
    <i/>
  </rowItems>
  <colItems count="1">
    <i/>
  </colItems>
  <dataFields count="1">
    <dataField name="Average of SALES"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696D13-10DC-4AE0-A0D8-C1E8FFE13B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4" firstHeaderRow="1" firstDataRow="1" firstDataCol="1"/>
  <pivotFields count="21">
    <pivotField showAll="0"/>
    <pivotField showAll="0"/>
    <pivotField showAll="0"/>
    <pivotField showAll="0"/>
    <pivotField showAll="0"/>
    <pivotField showAll="0"/>
    <pivotField dataField="1" showAll="0">
      <items count="8">
        <item x="1"/>
        <item h="1" x="0"/>
        <item h="1" x="4"/>
        <item h="1" x="5"/>
        <item h="1" x="6"/>
        <item h="1" x="2"/>
        <item h="1" x="3"/>
        <item t="default"/>
      </items>
    </pivotField>
    <pivotField showAll="0"/>
    <pivotField showAll="0"/>
    <pivotField showAll="0"/>
    <pivotField showAll="0"/>
    <pivotField showAll="0"/>
    <pivotField showAll="0"/>
    <pivotField axis="axisRow" showAll="0">
      <items count="5">
        <item x="2"/>
        <item h="1" x="0"/>
        <item h="1" x="3"/>
        <item h="1" x="1"/>
        <item t="default"/>
      </items>
    </pivotField>
    <pivotField showAll="0"/>
    <pivotField showAll="0"/>
    <pivotField showAll="0"/>
    <pivotField showAll="0"/>
    <pivotField showAll="0"/>
    <pivotField showAll="0"/>
    <pivotField showAll="0"/>
  </pivotFields>
  <rowFields count="1">
    <field x="13"/>
  </rowFields>
  <rowItems count="2">
    <i>
      <x/>
    </i>
    <i t="grand">
      <x/>
    </i>
  </rowItems>
  <colItems count="1">
    <i/>
  </colItems>
  <dataFields count="1">
    <dataField name="Count of PRODUCTLIN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727145-D2E5-4EBC-926C-543050863F6E}"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G2:H13" firstHeaderRow="1" firstDataRow="1" firstDataCol="1"/>
  <pivotFields count="21">
    <pivotField showAll="0"/>
    <pivotField dataField="1" showAll="0"/>
    <pivotField showAll="0"/>
    <pivotField showAll="0"/>
    <pivotField axis="axisRow" showAll="0">
      <items count="251">
        <item x="189"/>
        <item x="205"/>
        <item x="206"/>
        <item x="234"/>
        <item x="207"/>
        <item x="13"/>
        <item x="153"/>
        <item x="232"/>
        <item x="141"/>
        <item x="66"/>
        <item x="49"/>
        <item x="137"/>
        <item x="187"/>
        <item x="215"/>
        <item x="9"/>
        <item x="211"/>
        <item x="168"/>
        <item x="112"/>
        <item x="228"/>
        <item x="88"/>
        <item x="87"/>
        <item x="2"/>
        <item x="114"/>
        <item x="28"/>
        <item x="166"/>
        <item x="136"/>
        <item x="34"/>
        <item x="100"/>
        <item x="209"/>
        <item x="162"/>
        <item x="198"/>
        <item x="173"/>
        <item x="63"/>
        <item x="125"/>
        <item x="103"/>
        <item x="73"/>
        <item x="77"/>
        <item x="188"/>
        <item x="178"/>
        <item x="197"/>
        <item x="142"/>
        <item x="17"/>
        <item x="243"/>
        <item x="91"/>
        <item x="221"/>
        <item x="191"/>
        <item x="202"/>
        <item x="210"/>
        <item x="47"/>
        <item x="160"/>
        <item x="135"/>
        <item x="74"/>
        <item x="37"/>
        <item x="156"/>
        <item x="214"/>
        <item x="48"/>
        <item x="72"/>
        <item x="248"/>
        <item x="90"/>
        <item x="149"/>
        <item x="148"/>
        <item x="101"/>
        <item x="199"/>
        <item x="143"/>
        <item x="174"/>
        <item x="64"/>
        <item x="226"/>
        <item x="16"/>
        <item x="31"/>
        <item x="146"/>
        <item x="1"/>
        <item x="208"/>
        <item x="132"/>
        <item x="6"/>
        <item x="203"/>
        <item x="23"/>
        <item x="39"/>
        <item x="204"/>
        <item x="196"/>
        <item x="220"/>
        <item x="120"/>
        <item x="233"/>
        <item x="161"/>
        <item x="231"/>
        <item x="33"/>
        <item x="126"/>
        <item x="235"/>
        <item x="246"/>
        <item x="113"/>
        <item x="111"/>
        <item x="184"/>
        <item x="219"/>
        <item x="155"/>
        <item x="106"/>
        <item x="147"/>
        <item x="76"/>
        <item x="40"/>
        <item x="134"/>
        <item x="222"/>
        <item x="128"/>
        <item x="201"/>
        <item x="236"/>
        <item x="245"/>
        <item x="7"/>
        <item x="159"/>
        <item x="223"/>
        <item x="154"/>
        <item x="145"/>
        <item x="85"/>
        <item x="179"/>
        <item x="104"/>
        <item x="218"/>
        <item x="97"/>
        <item x="213"/>
        <item x="58"/>
        <item x="225"/>
        <item x="192"/>
        <item x="175"/>
        <item x="45"/>
        <item x="241"/>
        <item x="240"/>
        <item x="138"/>
        <item x="69"/>
        <item x="44"/>
        <item x="140"/>
        <item x="242"/>
        <item x="193"/>
        <item x="164"/>
        <item x="84"/>
        <item x="167"/>
        <item x="89"/>
        <item x="177"/>
        <item x="102"/>
        <item x="239"/>
        <item x="133"/>
        <item x="144"/>
        <item x="115"/>
        <item x="181"/>
        <item x="229"/>
        <item x="81"/>
        <item x="216"/>
        <item x="21"/>
        <item x="119"/>
        <item x="55"/>
        <item x="151"/>
        <item x="109"/>
        <item x="200"/>
        <item x="186"/>
        <item x="158"/>
        <item x="95"/>
        <item x="194"/>
        <item x="230"/>
        <item x="227"/>
        <item x="180"/>
        <item x="139"/>
        <item x="38"/>
        <item x="217"/>
        <item x="165"/>
        <item x="5"/>
        <item x="68"/>
        <item x="0"/>
        <item x="52"/>
        <item x="157"/>
        <item x="237"/>
        <item x="249"/>
        <item x="20"/>
        <item x="26"/>
        <item x="36"/>
        <item x="82"/>
        <item x="25"/>
        <item x="56"/>
        <item x="170"/>
        <item x="238"/>
        <item x="176"/>
        <item x="247"/>
        <item x="14"/>
        <item x="182"/>
        <item x="169"/>
        <item x="118"/>
        <item x="30"/>
        <item x="15"/>
        <item x="107"/>
        <item x="122"/>
        <item x="163"/>
        <item x="24"/>
        <item x="171"/>
        <item x="150"/>
        <item x="75"/>
        <item x="93"/>
        <item x="43"/>
        <item x="86"/>
        <item x="80"/>
        <item x="3"/>
        <item x="92"/>
        <item x="4"/>
        <item x="129"/>
        <item x="94"/>
        <item x="70"/>
        <item x="105"/>
        <item x="50"/>
        <item x="244"/>
        <item x="185"/>
        <item x="18"/>
        <item x="98"/>
        <item x="183"/>
        <item x="67"/>
        <item x="35"/>
        <item x="54"/>
        <item x="172"/>
        <item x="116"/>
        <item x="123"/>
        <item x="96"/>
        <item x="8"/>
        <item x="83"/>
        <item x="46"/>
        <item x="190"/>
        <item x="117"/>
        <item x="32"/>
        <item x="110"/>
        <item x="51"/>
        <item x="124"/>
        <item x="53"/>
        <item x="121"/>
        <item x="224"/>
        <item x="41"/>
        <item x="195"/>
        <item x="131"/>
        <item x="65"/>
        <item x="57"/>
        <item x="42"/>
        <item x="78"/>
        <item x="108"/>
        <item x="62"/>
        <item x="127"/>
        <item x="71"/>
        <item x="12"/>
        <item x="60"/>
        <item x="61"/>
        <item x="27"/>
        <item x="59"/>
        <item x="99"/>
        <item x="130"/>
        <item x="79"/>
        <item x="29"/>
        <item x="212"/>
        <item x="152"/>
        <item x="22"/>
        <item x="10"/>
        <item x="11"/>
        <item x="19"/>
        <item t="default"/>
      </items>
    </pivotField>
    <pivotField showAll="0"/>
    <pivotField showAll="0">
      <items count="8">
        <item x="1"/>
        <item h="1" x="0"/>
        <item h="1" x="4"/>
        <item h="1" x="5"/>
        <item h="1" x="6"/>
        <item h="1" x="2"/>
        <item h="1" x="3"/>
        <item t="default"/>
      </items>
    </pivotField>
    <pivotField showAll="0"/>
    <pivotField showAll="0"/>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 showAll="0"/>
  </pivotFields>
  <rowFields count="1">
    <field x="4"/>
  </rowFields>
  <rowItems count="11">
    <i>
      <x v="50"/>
    </i>
    <i>
      <x v="59"/>
    </i>
    <i>
      <x v="90"/>
    </i>
    <i>
      <x v="131"/>
    </i>
    <i>
      <x v="154"/>
    </i>
    <i>
      <x v="157"/>
    </i>
    <i>
      <x v="163"/>
    </i>
    <i>
      <x v="175"/>
    </i>
    <i>
      <x v="194"/>
    </i>
    <i>
      <x v="208"/>
    </i>
    <i t="grand">
      <x/>
    </i>
  </rowItems>
  <colItems count="1">
    <i/>
  </colItems>
  <dataFields count="1">
    <dataField name="Sum of QUANTITYORDERED" fld="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4512FB-F7CC-4772-B17C-2002AB4CDF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8:E25" firstHeaderRow="1" firstDataRow="1" firstDataCol="1"/>
  <pivotFields count="21">
    <pivotField showAll="0"/>
    <pivotField showAll="0"/>
    <pivotField showAll="0"/>
    <pivotField showAll="0"/>
    <pivotField dataField="1" showAll="0"/>
    <pivotField showAll="0"/>
    <pivotField axis="axisRow" showAll="0">
      <items count="8">
        <item x="1"/>
        <item x="0"/>
        <item x="4"/>
        <item x="5"/>
        <item x="6"/>
        <item x="2"/>
        <item x="3"/>
        <item t="default"/>
      </items>
    </pivotField>
    <pivotField showAll="0"/>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 showAll="0"/>
  </pivotFields>
  <rowFields count="1">
    <field x="6"/>
  </rowFields>
  <rowItems count="7">
    <i>
      <x/>
    </i>
    <i>
      <x v="1"/>
    </i>
    <i>
      <x v="2"/>
    </i>
    <i>
      <x v="3"/>
    </i>
    <i>
      <x v="5"/>
    </i>
    <i>
      <x v="6"/>
    </i>
    <i t="grand">
      <x/>
    </i>
  </rowItems>
  <colItems count="1">
    <i/>
  </colItems>
  <dataFields count="1">
    <dataField name="Sum of SALES" fld="4" baseField="0" baseItem="0"/>
  </dataFields>
  <chartFormats count="24">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6" count="1" selected="0">
            <x v="0"/>
          </reference>
        </references>
      </pivotArea>
    </chartFormat>
    <chartFormat chart="5" format="19">
      <pivotArea type="data" outline="0" fieldPosition="0">
        <references count="2">
          <reference field="4294967294" count="1" selected="0">
            <x v="0"/>
          </reference>
          <reference field="6" count="1" selected="0">
            <x v="1"/>
          </reference>
        </references>
      </pivotArea>
    </chartFormat>
    <chartFormat chart="5" format="20">
      <pivotArea type="data" outline="0" fieldPosition="0">
        <references count="2">
          <reference field="4294967294" count="1" selected="0">
            <x v="0"/>
          </reference>
          <reference field="6" count="1" selected="0">
            <x v="2"/>
          </reference>
        </references>
      </pivotArea>
    </chartFormat>
    <chartFormat chart="5" format="21">
      <pivotArea type="data" outline="0" fieldPosition="0">
        <references count="2">
          <reference field="4294967294" count="1" selected="0">
            <x v="0"/>
          </reference>
          <reference field="6" count="1" selected="0">
            <x v="3"/>
          </reference>
        </references>
      </pivotArea>
    </chartFormat>
    <chartFormat chart="5" format="22">
      <pivotArea type="data" outline="0" fieldPosition="0">
        <references count="2">
          <reference field="4294967294" count="1" selected="0">
            <x v="0"/>
          </reference>
          <reference field="6" count="1" selected="0">
            <x v="4"/>
          </reference>
        </references>
      </pivotArea>
    </chartFormat>
    <chartFormat chart="5" format="23">
      <pivotArea type="data" outline="0" fieldPosition="0">
        <references count="2">
          <reference field="4294967294" count="1" selected="0">
            <x v="0"/>
          </reference>
          <reference field="6" count="1" selected="0">
            <x v="5"/>
          </reference>
        </references>
      </pivotArea>
    </chartFormat>
    <chartFormat chart="5" format="24">
      <pivotArea type="data" outline="0" fieldPosition="0">
        <references count="2">
          <reference field="4294967294" count="1" selected="0">
            <x v="0"/>
          </reference>
          <reference field="6" count="1" selected="0">
            <x v="6"/>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 chart="6" format="29">
      <pivotArea type="data" outline="0" fieldPosition="0">
        <references count="2">
          <reference field="4294967294" count="1" selected="0">
            <x v="0"/>
          </reference>
          <reference field="6" count="1" selected="0">
            <x v="3"/>
          </reference>
        </references>
      </pivotArea>
    </chartFormat>
    <chartFormat chart="6" format="30">
      <pivotArea type="data" outline="0" fieldPosition="0">
        <references count="2">
          <reference field="4294967294" count="1" selected="0">
            <x v="0"/>
          </reference>
          <reference field="6" count="1" selected="0">
            <x v="4"/>
          </reference>
        </references>
      </pivotArea>
    </chartFormat>
    <chartFormat chart="6" format="31">
      <pivotArea type="data" outline="0" fieldPosition="0">
        <references count="2">
          <reference field="4294967294" count="1" selected="0">
            <x v="0"/>
          </reference>
          <reference field="6" count="1" selected="0">
            <x v="5"/>
          </reference>
        </references>
      </pivotArea>
    </chartFormat>
    <chartFormat chart="6" format="32">
      <pivotArea type="data" outline="0" fieldPosition="0">
        <references count="2">
          <reference field="4294967294" count="1" selected="0">
            <x v="0"/>
          </reference>
          <reference field="6" count="1" selected="0">
            <x v="6"/>
          </reference>
        </references>
      </pivotArea>
    </chartFormat>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6" count="1" selected="0">
            <x v="0"/>
          </reference>
        </references>
      </pivotArea>
    </chartFormat>
    <chartFormat chart="7" format="27">
      <pivotArea type="data" outline="0" fieldPosition="0">
        <references count="2">
          <reference field="4294967294" count="1" selected="0">
            <x v="0"/>
          </reference>
          <reference field="6" count="1" selected="0">
            <x v="1"/>
          </reference>
        </references>
      </pivotArea>
    </chartFormat>
    <chartFormat chart="7" format="28">
      <pivotArea type="data" outline="0" fieldPosition="0">
        <references count="2">
          <reference field="4294967294" count="1" selected="0">
            <x v="0"/>
          </reference>
          <reference field="6" count="1" selected="0">
            <x v="2"/>
          </reference>
        </references>
      </pivotArea>
    </chartFormat>
    <chartFormat chart="7" format="29">
      <pivotArea type="data" outline="0" fieldPosition="0">
        <references count="2">
          <reference field="4294967294" count="1" selected="0">
            <x v="0"/>
          </reference>
          <reference field="6" count="1" selected="0">
            <x v="3"/>
          </reference>
        </references>
      </pivotArea>
    </chartFormat>
    <chartFormat chart="7" format="30">
      <pivotArea type="data" outline="0" fieldPosition="0">
        <references count="2">
          <reference field="4294967294" count="1" selected="0">
            <x v="0"/>
          </reference>
          <reference field="6" count="1" selected="0">
            <x v="4"/>
          </reference>
        </references>
      </pivotArea>
    </chartFormat>
    <chartFormat chart="7" format="31">
      <pivotArea type="data" outline="0" fieldPosition="0">
        <references count="2">
          <reference field="4294967294" count="1" selected="0">
            <x v="0"/>
          </reference>
          <reference field="6" count="1" selected="0">
            <x v="5"/>
          </reference>
        </references>
      </pivotArea>
    </chartFormat>
    <chartFormat chart="7" format="32">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7D94CF-7E3E-45D0-8D3C-5CC3979838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4" firstHeaderRow="1" firstDataRow="1" firstDataCol="1"/>
  <pivotFields count="21">
    <pivotField showAll="0"/>
    <pivotField showAll="0"/>
    <pivotField showAll="0"/>
    <pivotField showAll="0"/>
    <pivotField showAll="0"/>
    <pivotField dataField="1" showAll="0">
      <items count="26">
        <item x="3"/>
        <item x="8"/>
        <item x="18"/>
        <item x="5"/>
        <item x="9"/>
        <item x="2"/>
        <item x="0"/>
        <item x="24"/>
        <item x="7"/>
        <item x="20"/>
        <item x="22"/>
        <item x="21"/>
        <item x="4"/>
        <item x="17"/>
        <item x="11"/>
        <item x="15"/>
        <item x="10"/>
        <item x="19"/>
        <item x="16"/>
        <item x="14"/>
        <item x="12"/>
        <item x="1"/>
        <item x="13"/>
        <item x="23"/>
        <item x="6"/>
        <item t="default"/>
      </items>
    </pivotField>
    <pivotField axis="axisRow" showAll="0">
      <items count="8">
        <item x="1"/>
        <item h="1" x="0"/>
        <item h="1" x="4"/>
        <item h="1" x="5"/>
        <item h="1" x="6"/>
        <item h="1" x="2"/>
        <item h="1" x="3"/>
        <item t="default"/>
      </items>
    </pivotField>
    <pivotField showAll="0"/>
    <pivotField showAll="0"/>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 showAll="0"/>
  </pivotFields>
  <rowFields count="1">
    <field x="6"/>
  </rowFields>
  <rowItems count="2">
    <i>
      <x/>
    </i>
    <i t="grand">
      <x/>
    </i>
  </rowItems>
  <colItems count="1">
    <i/>
  </colItems>
  <dataFields count="1">
    <dataField name="Count of ORDERDA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CF3B02-43BC-4AB1-A285-7112FB6247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21">
    <pivotField showAll="0"/>
    <pivotField showAll="0"/>
    <pivotField showAll="0"/>
    <pivotField showAll="0"/>
    <pivotField dataField="1" showAll="0"/>
    <pivotField showAll="0"/>
    <pivotField showAll="0">
      <items count="8">
        <item x="1"/>
        <item h="1" x="0"/>
        <item h="1" x="4"/>
        <item h="1" x="5"/>
        <item h="1" x="6"/>
        <item h="1" x="2"/>
        <item h="1" x="3"/>
        <item t="default"/>
      </items>
    </pivotField>
    <pivotField showAll="0"/>
    <pivotField showAll="0"/>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 showAll="0"/>
  </pivotFields>
  <rowItems count="1">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6B03D2-76A3-4477-A9D5-1742160AB8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21">
    <pivotField showAll="0"/>
    <pivotField showAll="0"/>
    <pivotField showAll="0"/>
    <pivotField showAll="0"/>
    <pivotField dataField="1" showAll="0"/>
    <pivotField showAll="0"/>
    <pivotField showAll="0">
      <items count="8">
        <item x="1"/>
        <item h="1" x="0"/>
        <item h="1" x="4"/>
        <item h="1" x="5"/>
        <item h="1" x="6"/>
        <item h="1" x="2"/>
        <item h="1" x="3"/>
        <item t="default"/>
      </items>
    </pivotField>
    <pivotField showAll="0"/>
    <pivotField showAll="0"/>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 showAll="0"/>
  </pivotFields>
  <rowItems count="1">
    <i/>
  </rowItems>
  <colItems count="1">
    <i/>
  </colItems>
  <dataFields count="1">
    <dataField name="Count of SAL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18EB19-4F00-448E-8C5A-A6A9B4BCC6F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5:B17" firstHeaderRow="1" firstDataRow="1" firstDataCol="1"/>
  <pivotFields count="21">
    <pivotField showAll="0"/>
    <pivotField showAll="0">
      <items count="36">
        <item x="34"/>
        <item x="2"/>
        <item x="3"/>
        <item x="27"/>
        <item x="1"/>
        <item x="5"/>
        <item x="12"/>
        <item x="8"/>
        <item x="14"/>
        <item x="16"/>
        <item x="6"/>
        <item x="4"/>
        <item x="22"/>
        <item x="13"/>
        <item x="24"/>
        <item x="31"/>
        <item x="15"/>
        <item x="18"/>
        <item x="0"/>
        <item x="26"/>
        <item x="11"/>
        <item x="21"/>
        <item x="23"/>
        <item x="17"/>
        <item x="20"/>
        <item x="30"/>
        <item x="28"/>
        <item x="9"/>
        <item x="7"/>
        <item x="19"/>
        <item x="10"/>
        <item x="29"/>
        <item x="25"/>
        <item x="33"/>
        <item x="32"/>
        <item t="default"/>
      </items>
    </pivotField>
    <pivotField showAll="0"/>
    <pivotField showAll="0"/>
    <pivotField dataField="1" showAll="0"/>
    <pivotField showAll="0"/>
    <pivotField axis="axisRow" showAll="0">
      <items count="8">
        <item x="1"/>
        <item h="1" x="0"/>
        <item h="1" x="4"/>
        <item h="1" x="5"/>
        <item h="1" x="6"/>
        <item h="1" x="2"/>
        <item h="1" x="3"/>
        <item t="default"/>
      </items>
    </pivotField>
    <pivotField showAll="0"/>
    <pivotField showAll="0"/>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 showAll="0"/>
  </pivotFields>
  <rowFields count="1">
    <field x="6"/>
  </rowFields>
  <rowItems count="2">
    <i>
      <x/>
    </i>
    <i t="grand">
      <x/>
    </i>
  </rowItems>
  <colItems count="1">
    <i/>
  </colItems>
  <dataFields count="1">
    <dataField name="Average of SALES" fld="4" subtotal="average"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1DB7EB0-21FB-4D6C-AD81-70E2240DE7D7}" sourceName="CITY">
  <pivotTables>
    <pivotTable tabId="3" name="PivotTable2"/>
    <pivotTable tabId="3" name="PivotTable1"/>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s>
  <data>
    <tabular pivotCacheId="1773565797">
      <items count="4">
        <i x="2" s="1"/>
        <i x="0"/>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8C9C8470-9713-4CCF-A309-7563F921473B}" sourceName="PRODUCTLINE">
  <pivotTables>
    <pivotTable tabId="3" name="PivotTable8"/>
    <pivotTable tabId="3" name="PivotTable1"/>
    <pivotTable tabId="3" name="PivotTable2"/>
    <pivotTable tabId="3" name="PivotTable3"/>
    <pivotTable tabId="3" name="PivotTable4"/>
    <pivotTable tabId="3" name="PivotTable5"/>
    <pivotTable tabId="3" name="PivotTable7"/>
    <pivotTable tabId="3" name="PivotTable9"/>
  </pivotTables>
  <data>
    <tabular pivotCacheId="1773565797">
      <items count="7">
        <i x="1" s="1"/>
        <i x="0"/>
        <i x="4"/>
        <i x="5"/>
        <i x="2"/>
        <i x="3"/>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6CB1B53-135E-4AA1-AE77-83C52D90F6E9}" cache="Slicer_CITY" caption="CITY" showCaption="0" style="SlicerStyleLight5 2" rowHeight="108000"/>
  <slicer name="PRODUCTLINE" xr10:uid="{0E0CE5EA-6AE4-411D-8628-085E63ECFA58}" cache="Slicer_PRODUCTLINE" caption="PRODUCTLINE" showCaption="0" style="SlicerStyleLight5 2"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5AAFEC-E7FA-4C29-B7BE-1C200FCCC7FB}" name="Table1" displayName="Table1" ref="A1:U251" totalsRowShown="0">
  <autoFilter ref="A1:U251" xr:uid="{2A5AAFEC-E7FA-4C29-B7BE-1C200FCCC7FB}"/>
  <tableColumns count="21">
    <tableColumn id="1" xr3:uid="{7FA2A686-6982-4C61-9EF4-714BDDA7E995}" name="ORDERNUMBER"/>
    <tableColumn id="2" xr3:uid="{1941AAA5-25A4-47BB-84AE-9E91FE045346}" name="QUANTITYORDERED"/>
    <tableColumn id="3" xr3:uid="{D1B245B4-298E-45B2-8AAA-DB2007BB7057}" name="PRICEEACH"/>
    <tableColumn id="4" xr3:uid="{FABAC7F7-1761-4654-8902-46513F795401}" name="ORDERLINENUMBER"/>
    <tableColumn id="5" xr3:uid="{DFF89CC7-4F17-4F56-B3D2-651B83FCFF6B}" name="SALES"/>
    <tableColumn id="6" xr3:uid="{F6235C08-D943-478E-822E-96EDB5D71C26}" name="ORDERDATE" dataDxfId="0"/>
    <tableColumn id="7" xr3:uid="{A0686304-05A0-4892-B458-98835BA52DCD}" name="PRODUCTLINE"/>
    <tableColumn id="8" xr3:uid="{1F4C61F8-FE33-4965-B232-F6B400F40DFC}" name="MSRP"/>
    <tableColumn id="9" xr3:uid="{2A6EE44B-542A-49BF-BE8A-CEF1F5494308}" name="PRODUCTCODE"/>
    <tableColumn id="10" xr3:uid="{3777E3E2-CF76-4DFF-B0FB-74C6EF5C509F}" name="CUSTOMERNAME"/>
    <tableColumn id="11" xr3:uid="{BD028D26-E2EB-46A1-8344-60EE49B1238F}" name="PHONE"/>
    <tableColumn id="12" xr3:uid="{5704876D-47A8-4095-B0FE-FFC8A5131507}" name="ADDRESSLINE1"/>
    <tableColumn id="13" xr3:uid="{CAC05EA2-713F-468E-95AD-6AD88624FECA}" name="ADDRESSLINE2"/>
    <tableColumn id="14" xr3:uid="{99C92485-F165-4C5F-BAFE-AB53387F6172}" name="CITY"/>
    <tableColumn id="15" xr3:uid="{E467F62C-1315-4A94-B25B-0BD59A5B637D}" name="STATE"/>
    <tableColumn id="16" xr3:uid="{F0474472-3F7E-44DF-AA82-30ABD4C9F5B1}" name="POSTALCODE"/>
    <tableColumn id="17" xr3:uid="{913E4AEA-7563-4F5F-BB71-341F511BF908}" name="COUNTRY"/>
    <tableColumn id="18" xr3:uid="{8AA2A06D-E0E1-482D-98C6-7A564C09EE7D}" name="TERRITORY"/>
    <tableColumn id="19" xr3:uid="{34EDBF9C-08FB-4BF8-8874-B62AC83A6705}" name="CONTACTLASTNAME"/>
    <tableColumn id="20" xr3:uid="{F402064F-0860-44C9-93BA-F1C1CC01D73B}" name="CONTACTFIRSTNAME"/>
    <tableColumn id="21" xr3:uid="{9C891F24-19FB-4EBA-8151-A94DD11BC7E3}"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24DB-617B-4E73-A104-347031D461F0}">
  <dimension ref="A1:U251"/>
  <sheetViews>
    <sheetView tabSelected="1" zoomScaleNormal="100" workbookViewId="0">
      <selection activeCell="J6" sqref="J6"/>
    </sheetView>
  </sheetViews>
  <sheetFormatPr defaultRowHeight="14.4" x14ac:dyDescent="0.3"/>
  <cols>
    <col min="1" max="1" width="15.88671875" customWidth="1"/>
    <col min="2" max="2" width="19.21875" customWidth="1"/>
    <col min="3" max="3" width="12.5546875" customWidth="1"/>
    <col min="4" max="4" width="19.6640625" customWidth="1"/>
    <col min="5" max="5" width="8.109375" customWidth="1"/>
    <col min="6" max="6" width="15.33203125" style="1" bestFit="1" customWidth="1"/>
    <col min="7" max="7" width="15" bestFit="1" customWidth="1"/>
    <col min="9" max="9" width="15.77734375" customWidth="1"/>
    <col min="10" max="10" width="22.109375" bestFit="1" customWidth="1"/>
    <col min="11" max="11" width="9" customWidth="1"/>
    <col min="12" max="12" width="33.44140625" bestFit="1" customWidth="1"/>
    <col min="13" max="13" width="15.5546875" customWidth="1"/>
    <col min="16" max="16" width="14.109375" customWidth="1"/>
    <col min="17" max="17" width="11" customWidth="1"/>
    <col min="18" max="18" width="11.88671875" customWidth="1"/>
    <col min="19" max="19" width="19.77734375" customWidth="1"/>
    <col min="20" max="20" width="20.44140625" customWidth="1"/>
    <col min="21" max="21" width="10.77734375" customWidth="1"/>
  </cols>
  <sheetData>
    <row r="1" spans="1:21" x14ac:dyDescent="0.3">
      <c r="A1" t="s">
        <v>0</v>
      </c>
      <c r="B1" t="s">
        <v>1</v>
      </c>
      <c r="C1" t="s">
        <v>2</v>
      </c>
      <c r="D1" t="s">
        <v>3</v>
      </c>
      <c r="E1" t="s">
        <v>4</v>
      </c>
      <c r="F1" s="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10223</v>
      </c>
      <c r="B2">
        <v>37</v>
      </c>
      <c r="C2">
        <v>100</v>
      </c>
      <c r="D2">
        <v>1</v>
      </c>
      <c r="E2">
        <v>3965.66</v>
      </c>
      <c r="F2" s="1" t="s">
        <v>177</v>
      </c>
      <c r="G2" t="s">
        <v>21</v>
      </c>
      <c r="H2">
        <v>95</v>
      </c>
      <c r="I2" t="s">
        <v>22</v>
      </c>
      <c r="J2" t="s">
        <v>30</v>
      </c>
      <c r="K2" t="s">
        <v>31</v>
      </c>
      <c r="L2" t="s">
        <v>32</v>
      </c>
      <c r="M2" t="s">
        <v>33</v>
      </c>
      <c r="N2" t="s">
        <v>34</v>
      </c>
      <c r="O2" t="s">
        <v>35</v>
      </c>
      <c r="P2">
        <v>3004</v>
      </c>
      <c r="Q2" t="s">
        <v>36</v>
      </c>
      <c r="R2" t="s">
        <v>37</v>
      </c>
      <c r="S2" t="s">
        <v>38</v>
      </c>
      <c r="T2" t="s">
        <v>39</v>
      </c>
      <c r="U2" t="s">
        <v>28</v>
      </c>
    </row>
    <row r="3" spans="1:21" x14ac:dyDescent="0.3">
      <c r="A3">
        <v>10237</v>
      </c>
      <c r="B3">
        <v>23</v>
      </c>
      <c r="C3">
        <v>100</v>
      </c>
      <c r="D3">
        <v>7</v>
      </c>
      <c r="E3">
        <v>2333.12</v>
      </c>
      <c r="F3" s="1">
        <v>38111</v>
      </c>
      <c r="G3" t="s">
        <v>21</v>
      </c>
      <c r="H3">
        <v>95</v>
      </c>
      <c r="I3" t="s">
        <v>22</v>
      </c>
      <c r="J3" t="s">
        <v>40</v>
      </c>
      <c r="K3">
        <v>2125551500</v>
      </c>
      <c r="L3" t="s">
        <v>41</v>
      </c>
      <c r="M3" t="s">
        <v>42</v>
      </c>
      <c r="N3" t="s">
        <v>23</v>
      </c>
      <c r="O3" t="s">
        <v>24</v>
      </c>
      <c r="P3">
        <v>10022</v>
      </c>
      <c r="Q3" t="s">
        <v>25</v>
      </c>
      <c r="R3" t="s">
        <v>26</v>
      </c>
      <c r="S3" t="s">
        <v>43</v>
      </c>
      <c r="T3" t="s">
        <v>44</v>
      </c>
      <c r="U3" t="s">
        <v>27</v>
      </c>
    </row>
    <row r="4" spans="1:21" x14ac:dyDescent="0.3">
      <c r="A4">
        <v>10361</v>
      </c>
      <c r="B4">
        <v>20</v>
      </c>
      <c r="C4">
        <v>72.55</v>
      </c>
      <c r="D4">
        <v>13</v>
      </c>
      <c r="E4">
        <v>1451</v>
      </c>
      <c r="F4" s="1" t="s">
        <v>178</v>
      </c>
      <c r="G4" t="s">
        <v>21</v>
      </c>
      <c r="H4">
        <v>95</v>
      </c>
      <c r="I4" t="s">
        <v>22</v>
      </c>
      <c r="J4" t="s">
        <v>47</v>
      </c>
      <c r="K4" t="s">
        <v>48</v>
      </c>
      <c r="L4" t="s">
        <v>49</v>
      </c>
      <c r="M4" t="s">
        <v>50</v>
      </c>
      <c r="N4" t="s">
        <v>51</v>
      </c>
      <c r="O4" t="s">
        <v>52</v>
      </c>
      <c r="P4">
        <v>2067</v>
      </c>
      <c r="Q4" t="s">
        <v>36</v>
      </c>
      <c r="R4" t="s">
        <v>37</v>
      </c>
      <c r="S4" t="s">
        <v>53</v>
      </c>
      <c r="T4" t="s">
        <v>54</v>
      </c>
      <c r="U4" t="s">
        <v>27</v>
      </c>
    </row>
    <row r="5" spans="1:21" x14ac:dyDescent="0.3">
      <c r="A5">
        <v>10163</v>
      </c>
      <c r="B5">
        <v>21</v>
      </c>
      <c r="C5">
        <v>100</v>
      </c>
      <c r="D5">
        <v>1</v>
      </c>
      <c r="E5">
        <v>4860.24</v>
      </c>
      <c r="F5" s="1" t="s">
        <v>179</v>
      </c>
      <c r="G5" t="s">
        <v>55</v>
      </c>
      <c r="H5">
        <v>214</v>
      </c>
      <c r="I5" t="s">
        <v>56</v>
      </c>
      <c r="J5" t="s">
        <v>57</v>
      </c>
      <c r="K5">
        <v>2125558493</v>
      </c>
      <c r="L5" t="s">
        <v>58</v>
      </c>
      <c r="M5" t="s">
        <v>59</v>
      </c>
      <c r="N5" t="s">
        <v>23</v>
      </c>
      <c r="O5" t="s">
        <v>24</v>
      </c>
      <c r="P5">
        <v>10022</v>
      </c>
      <c r="Q5" t="s">
        <v>25</v>
      </c>
      <c r="R5" t="s">
        <v>26</v>
      </c>
      <c r="S5" t="s">
        <v>45</v>
      </c>
      <c r="T5" t="s">
        <v>60</v>
      </c>
      <c r="U5" t="s">
        <v>28</v>
      </c>
    </row>
    <row r="6" spans="1:21" x14ac:dyDescent="0.3">
      <c r="A6">
        <v>10270</v>
      </c>
      <c r="B6">
        <v>21</v>
      </c>
      <c r="C6">
        <v>100</v>
      </c>
      <c r="D6">
        <v>9</v>
      </c>
      <c r="E6">
        <v>4905.3900000000003</v>
      </c>
      <c r="F6" s="1" t="s">
        <v>180</v>
      </c>
      <c r="G6" t="s">
        <v>55</v>
      </c>
      <c r="H6">
        <v>214</v>
      </c>
      <c r="I6" t="s">
        <v>56</v>
      </c>
      <c r="J6" t="s">
        <v>47</v>
      </c>
      <c r="K6" t="s">
        <v>48</v>
      </c>
      <c r="L6" t="s">
        <v>49</v>
      </c>
      <c r="M6" t="s">
        <v>50</v>
      </c>
      <c r="N6" t="s">
        <v>51</v>
      </c>
      <c r="O6" t="s">
        <v>52</v>
      </c>
      <c r="P6">
        <v>2067</v>
      </c>
      <c r="Q6" t="s">
        <v>36</v>
      </c>
      <c r="R6" t="s">
        <v>37</v>
      </c>
      <c r="S6" t="s">
        <v>53</v>
      </c>
      <c r="T6" t="s">
        <v>54</v>
      </c>
      <c r="U6" t="s">
        <v>28</v>
      </c>
    </row>
    <row r="7" spans="1:21" x14ac:dyDescent="0.3">
      <c r="A7">
        <v>10347</v>
      </c>
      <c r="B7">
        <v>30</v>
      </c>
      <c r="C7">
        <v>100</v>
      </c>
      <c r="D7">
        <v>1</v>
      </c>
      <c r="E7">
        <v>3944.7</v>
      </c>
      <c r="F7" s="1" t="s">
        <v>181</v>
      </c>
      <c r="G7" t="s">
        <v>55</v>
      </c>
      <c r="H7">
        <v>214</v>
      </c>
      <c r="I7" t="s">
        <v>56</v>
      </c>
      <c r="J7" t="s">
        <v>30</v>
      </c>
      <c r="K7" t="s">
        <v>31</v>
      </c>
      <c r="L7" t="s">
        <v>32</v>
      </c>
      <c r="M7" t="s">
        <v>33</v>
      </c>
      <c r="N7" t="s">
        <v>34</v>
      </c>
      <c r="O7" t="s">
        <v>35</v>
      </c>
      <c r="P7">
        <v>3004</v>
      </c>
      <c r="Q7" t="s">
        <v>36</v>
      </c>
      <c r="R7" t="s">
        <v>37</v>
      </c>
      <c r="S7" t="s">
        <v>38</v>
      </c>
      <c r="T7" t="s">
        <v>39</v>
      </c>
      <c r="U7" t="s">
        <v>28</v>
      </c>
    </row>
    <row r="8" spans="1:21" x14ac:dyDescent="0.3">
      <c r="A8">
        <v>10391</v>
      </c>
      <c r="B8">
        <v>24</v>
      </c>
      <c r="C8">
        <v>100</v>
      </c>
      <c r="D8">
        <v>4</v>
      </c>
      <c r="E8">
        <v>2416.56</v>
      </c>
      <c r="F8" s="1">
        <v>38598</v>
      </c>
      <c r="G8" t="s">
        <v>55</v>
      </c>
      <c r="H8">
        <v>214</v>
      </c>
      <c r="I8" t="s">
        <v>56</v>
      </c>
      <c r="J8" t="s">
        <v>61</v>
      </c>
      <c r="K8" t="s">
        <v>62</v>
      </c>
      <c r="L8" t="s">
        <v>63</v>
      </c>
      <c r="M8" t="s">
        <v>64</v>
      </c>
      <c r="N8" t="s">
        <v>65</v>
      </c>
      <c r="O8" t="s">
        <v>52</v>
      </c>
      <c r="P8">
        <v>2060</v>
      </c>
      <c r="Q8" t="s">
        <v>36</v>
      </c>
      <c r="R8" t="s">
        <v>37</v>
      </c>
      <c r="S8" t="s">
        <v>66</v>
      </c>
      <c r="T8" t="s">
        <v>67</v>
      </c>
      <c r="U8" t="s">
        <v>27</v>
      </c>
    </row>
    <row r="9" spans="1:21" x14ac:dyDescent="0.3">
      <c r="A9">
        <v>10120</v>
      </c>
      <c r="B9">
        <v>29</v>
      </c>
      <c r="C9">
        <v>96.34</v>
      </c>
      <c r="D9">
        <v>3</v>
      </c>
      <c r="E9">
        <v>2793.86</v>
      </c>
      <c r="F9" s="1" t="s">
        <v>182</v>
      </c>
      <c r="G9" t="s">
        <v>21</v>
      </c>
      <c r="H9">
        <v>118</v>
      </c>
      <c r="I9" t="s">
        <v>68</v>
      </c>
      <c r="J9" t="s">
        <v>30</v>
      </c>
      <c r="K9" t="s">
        <v>31</v>
      </c>
      <c r="L9" t="s">
        <v>32</v>
      </c>
      <c r="M9" t="s">
        <v>33</v>
      </c>
      <c r="N9" t="s">
        <v>34</v>
      </c>
      <c r="O9" t="s">
        <v>35</v>
      </c>
      <c r="P9">
        <v>3004</v>
      </c>
      <c r="Q9" t="s">
        <v>36</v>
      </c>
      <c r="R9" t="s">
        <v>37</v>
      </c>
      <c r="S9" t="s">
        <v>38</v>
      </c>
      <c r="T9" t="s">
        <v>39</v>
      </c>
      <c r="U9" t="s">
        <v>27</v>
      </c>
    </row>
    <row r="10" spans="1:21" x14ac:dyDescent="0.3">
      <c r="A10">
        <v>10223</v>
      </c>
      <c r="B10">
        <v>47</v>
      </c>
      <c r="C10">
        <v>100</v>
      </c>
      <c r="D10">
        <v>4</v>
      </c>
      <c r="E10">
        <v>5422.39</v>
      </c>
      <c r="F10" s="1" t="s">
        <v>177</v>
      </c>
      <c r="G10" t="s">
        <v>21</v>
      </c>
      <c r="H10">
        <v>118</v>
      </c>
      <c r="I10" t="s">
        <v>68</v>
      </c>
      <c r="J10" t="s">
        <v>30</v>
      </c>
      <c r="K10" t="s">
        <v>31</v>
      </c>
      <c r="L10" t="s">
        <v>32</v>
      </c>
      <c r="M10" t="s">
        <v>33</v>
      </c>
      <c r="N10" t="s">
        <v>34</v>
      </c>
      <c r="O10" t="s">
        <v>35</v>
      </c>
      <c r="P10">
        <v>3004</v>
      </c>
      <c r="Q10" t="s">
        <v>36</v>
      </c>
      <c r="R10" t="s">
        <v>37</v>
      </c>
      <c r="S10" t="s">
        <v>38</v>
      </c>
      <c r="T10" t="s">
        <v>39</v>
      </c>
      <c r="U10" t="s">
        <v>28</v>
      </c>
    </row>
    <row r="11" spans="1:21" x14ac:dyDescent="0.3">
      <c r="A11">
        <v>10361</v>
      </c>
      <c r="B11">
        <v>26</v>
      </c>
      <c r="C11">
        <v>51.15</v>
      </c>
      <c r="D11">
        <v>8</v>
      </c>
      <c r="E11">
        <v>1329.9</v>
      </c>
      <c r="F11" s="1" t="s">
        <v>178</v>
      </c>
      <c r="G11" t="s">
        <v>21</v>
      </c>
      <c r="H11">
        <v>118</v>
      </c>
      <c r="I11" t="s">
        <v>68</v>
      </c>
      <c r="J11" t="s">
        <v>47</v>
      </c>
      <c r="K11" t="s">
        <v>48</v>
      </c>
      <c r="L11" t="s">
        <v>49</v>
      </c>
      <c r="M11" t="s">
        <v>50</v>
      </c>
      <c r="N11" t="s">
        <v>51</v>
      </c>
      <c r="O11" t="s">
        <v>52</v>
      </c>
      <c r="P11">
        <v>2067</v>
      </c>
      <c r="Q11" t="s">
        <v>36</v>
      </c>
      <c r="R11" t="s">
        <v>37</v>
      </c>
      <c r="S11" t="s">
        <v>53</v>
      </c>
      <c r="T11" t="s">
        <v>54</v>
      </c>
      <c r="U11" t="s">
        <v>27</v>
      </c>
    </row>
    <row r="12" spans="1:21" x14ac:dyDescent="0.3">
      <c r="A12">
        <v>10120</v>
      </c>
      <c r="B12">
        <v>46</v>
      </c>
      <c r="C12">
        <v>100</v>
      </c>
      <c r="D12">
        <v>2</v>
      </c>
      <c r="E12">
        <v>9264.86</v>
      </c>
      <c r="F12" s="1" t="s">
        <v>182</v>
      </c>
      <c r="G12" t="s">
        <v>21</v>
      </c>
      <c r="H12">
        <v>193</v>
      </c>
      <c r="I12" t="s">
        <v>69</v>
      </c>
      <c r="J12" t="s">
        <v>30</v>
      </c>
      <c r="K12" t="s">
        <v>31</v>
      </c>
      <c r="L12" t="s">
        <v>32</v>
      </c>
      <c r="M12" t="s">
        <v>33</v>
      </c>
      <c r="N12" t="s">
        <v>34</v>
      </c>
      <c r="O12" t="s">
        <v>35</v>
      </c>
      <c r="P12">
        <v>3004</v>
      </c>
      <c r="Q12" t="s">
        <v>36</v>
      </c>
      <c r="R12" t="s">
        <v>37</v>
      </c>
      <c r="S12" t="s">
        <v>38</v>
      </c>
      <c r="T12" t="s">
        <v>39</v>
      </c>
      <c r="U12" t="s">
        <v>46</v>
      </c>
    </row>
    <row r="13" spans="1:21" x14ac:dyDescent="0.3">
      <c r="A13">
        <v>10223</v>
      </c>
      <c r="B13">
        <v>49</v>
      </c>
      <c r="C13">
        <v>100</v>
      </c>
      <c r="D13">
        <v>3</v>
      </c>
      <c r="E13">
        <v>9774.0300000000007</v>
      </c>
      <c r="F13" s="1" t="s">
        <v>177</v>
      </c>
      <c r="G13" t="s">
        <v>21</v>
      </c>
      <c r="H13">
        <v>193</v>
      </c>
      <c r="I13" t="s">
        <v>69</v>
      </c>
      <c r="J13" t="s">
        <v>30</v>
      </c>
      <c r="K13" t="s">
        <v>31</v>
      </c>
      <c r="L13" t="s">
        <v>32</v>
      </c>
      <c r="M13" t="s">
        <v>33</v>
      </c>
      <c r="N13" t="s">
        <v>34</v>
      </c>
      <c r="O13" t="s">
        <v>35</v>
      </c>
      <c r="P13">
        <v>3004</v>
      </c>
      <c r="Q13" t="s">
        <v>36</v>
      </c>
      <c r="R13" t="s">
        <v>37</v>
      </c>
      <c r="S13" t="s">
        <v>38</v>
      </c>
      <c r="T13" t="s">
        <v>39</v>
      </c>
      <c r="U13" t="s">
        <v>46</v>
      </c>
    </row>
    <row r="14" spans="1:21" x14ac:dyDescent="0.3">
      <c r="A14">
        <v>10237</v>
      </c>
      <c r="B14">
        <v>39</v>
      </c>
      <c r="C14">
        <v>100</v>
      </c>
      <c r="D14">
        <v>9</v>
      </c>
      <c r="E14">
        <v>7023.9</v>
      </c>
      <c r="F14" s="1">
        <v>38111</v>
      </c>
      <c r="G14" t="s">
        <v>21</v>
      </c>
      <c r="H14">
        <v>193</v>
      </c>
      <c r="I14" t="s">
        <v>69</v>
      </c>
      <c r="J14" t="s">
        <v>40</v>
      </c>
      <c r="K14">
        <v>2125551500</v>
      </c>
      <c r="L14" t="s">
        <v>41</v>
      </c>
      <c r="M14" t="s">
        <v>42</v>
      </c>
      <c r="N14" t="s">
        <v>23</v>
      </c>
      <c r="O14" t="s">
        <v>24</v>
      </c>
      <c r="P14">
        <v>10022</v>
      </c>
      <c r="Q14" t="s">
        <v>25</v>
      </c>
      <c r="R14" t="s">
        <v>26</v>
      </c>
      <c r="S14" t="s">
        <v>43</v>
      </c>
      <c r="T14" t="s">
        <v>44</v>
      </c>
      <c r="U14" t="s">
        <v>46</v>
      </c>
    </row>
    <row r="15" spans="1:21" x14ac:dyDescent="0.3">
      <c r="A15">
        <v>10337</v>
      </c>
      <c r="B15">
        <v>25</v>
      </c>
      <c r="C15">
        <v>48.05</v>
      </c>
      <c r="D15">
        <v>8</v>
      </c>
      <c r="E15">
        <v>1201.25</v>
      </c>
      <c r="F15" s="1" t="s">
        <v>183</v>
      </c>
      <c r="G15" t="s">
        <v>55</v>
      </c>
      <c r="H15">
        <v>136</v>
      </c>
      <c r="I15" t="s">
        <v>70</v>
      </c>
      <c r="J15" t="s">
        <v>57</v>
      </c>
      <c r="K15">
        <v>2125558493</v>
      </c>
      <c r="L15" t="s">
        <v>58</v>
      </c>
      <c r="M15" t="s">
        <v>59</v>
      </c>
      <c r="N15" t="s">
        <v>23</v>
      </c>
      <c r="O15" t="s">
        <v>24</v>
      </c>
      <c r="P15">
        <v>10022</v>
      </c>
      <c r="Q15" t="s">
        <v>25</v>
      </c>
      <c r="R15" t="s">
        <v>26</v>
      </c>
      <c r="S15" t="s">
        <v>45</v>
      </c>
      <c r="T15" t="s">
        <v>60</v>
      </c>
      <c r="U15" t="s">
        <v>27</v>
      </c>
    </row>
    <row r="16" spans="1:21" x14ac:dyDescent="0.3">
      <c r="A16">
        <v>10270</v>
      </c>
      <c r="B16">
        <v>32</v>
      </c>
      <c r="C16">
        <v>100</v>
      </c>
      <c r="D16">
        <v>2</v>
      </c>
      <c r="E16">
        <v>4302.08</v>
      </c>
      <c r="F16" s="1" t="s">
        <v>180</v>
      </c>
      <c r="G16" t="s">
        <v>55</v>
      </c>
      <c r="H16">
        <v>147</v>
      </c>
      <c r="I16" t="s">
        <v>71</v>
      </c>
      <c r="J16" t="s">
        <v>47</v>
      </c>
      <c r="K16" t="s">
        <v>48</v>
      </c>
      <c r="L16" t="s">
        <v>49</v>
      </c>
      <c r="M16" t="s">
        <v>50</v>
      </c>
      <c r="N16" t="s">
        <v>51</v>
      </c>
      <c r="O16" t="s">
        <v>52</v>
      </c>
      <c r="P16">
        <v>2067</v>
      </c>
      <c r="Q16" t="s">
        <v>36</v>
      </c>
      <c r="R16" t="s">
        <v>37</v>
      </c>
      <c r="S16" t="s">
        <v>53</v>
      </c>
      <c r="T16" t="s">
        <v>54</v>
      </c>
      <c r="U16" t="s">
        <v>28</v>
      </c>
    </row>
    <row r="17" spans="1:21" x14ac:dyDescent="0.3">
      <c r="A17">
        <v>10347</v>
      </c>
      <c r="B17">
        <v>27</v>
      </c>
      <c r="C17">
        <v>100</v>
      </c>
      <c r="D17">
        <v>2</v>
      </c>
      <c r="E17">
        <v>4428</v>
      </c>
      <c r="F17" s="1" t="s">
        <v>181</v>
      </c>
      <c r="G17" t="s">
        <v>55</v>
      </c>
      <c r="H17">
        <v>147</v>
      </c>
      <c r="I17" t="s">
        <v>71</v>
      </c>
      <c r="J17" t="s">
        <v>30</v>
      </c>
      <c r="K17" t="s">
        <v>31</v>
      </c>
      <c r="L17" t="s">
        <v>32</v>
      </c>
      <c r="M17" t="s">
        <v>33</v>
      </c>
      <c r="N17" t="s">
        <v>34</v>
      </c>
      <c r="O17" t="s">
        <v>35</v>
      </c>
      <c r="P17">
        <v>3004</v>
      </c>
      <c r="Q17" t="s">
        <v>36</v>
      </c>
      <c r="R17" t="s">
        <v>37</v>
      </c>
      <c r="S17" t="s">
        <v>38</v>
      </c>
      <c r="T17" t="s">
        <v>39</v>
      </c>
      <c r="U17" t="s">
        <v>28</v>
      </c>
    </row>
    <row r="18" spans="1:21" x14ac:dyDescent="0.3">
      <c r="A18">
        <v>10370</v>
      </c>
      <c r="B18">
        <v>35</v>
      </c>
      <c r="C18">
        <v>65.63</v>
      </c>
      <c r="D18">
        <v>4</v>
      </c>
      <c r="E18">
        <v>2297.0500000000002</v>
      </c>
      <c r="F18" s="1" t="s">
        <v>184</v>
      </c>
      <c r="G18" t="s">
        <v>55</v>
      </c>
      <c r="H18">
        <v>147</v>
      </c>
      <c r="I18" t="s">
        <v>71</v>
      </c>
      <c r="J18" t="s">
        <v>61</v>
      </c>
      <c r="K18" t="s">
        <v>62</v>
      </c>
      <c r="L18" t="s">
        <v>63</v>
      </c>
      <c r="M18" t="s">
        <v>64</v>
      </c>
      <c r="N18" t="s">
        <v>65</v>
      </c>
      <c r="O18" t="s">
        <v>52</v>
      </c>
      <c r="P18">
        <v>2060</v>
      </c>
      <c r="Q18" t="s">
        <v>36</v>
      </c>
      <c r="R18" t="s">
        <v>37</v>
      </c>
      <c r="S18" t="s">
        <v>66</v>
      </c>
      <c r="T18" t="s">
        <v>67</v>
      </c>
      <c r="U18" t="s">
        <v>27</v>
      </c>
    </row>
    <row r="19" spans="1:21" x14ac:dyDescent="0.3">
      <c r="A19">
        <v>10391</v>
      </c>
      <c r="B19">
        <v>37</v>
      </c>
      <c r="C19">
        <v>46.9</v>
      </c>
      <c r="D19">
        <v>7</v>
      </c>
      <c r="E19">
        <v>1735.3</v>
      </c>
      <c r="F19" s="1">
        <v>38598</v>
      </c>
      <c r="G19" t="s">
        <v>55</v>
      </c>
      <c r="H19">
        <v>147</v>
      </c>
      <c r="I19" t="s">
        <v>71</v>
      </c>
      <c r="J19" t="s">
        <v>61</v>
      </c>
      <c r="K19" t="s">
        <v>62</v>
      </c>
      <c r="L19" t="s">
        <v>63</v>
      </c>
      <c r="M19" t="s">
        <v>64</v>
      </c>
      <c r="N19" t="s">
        <v>65</v>
      </c>
      <c r="O19" t="s">
        <v>52</v>
      </c>
      <c r="P19">
        <v>2060</v>
      </c>
      <c r="Q19" t="s">
        <v>36</v>
      </c>
      <c r="R19" t="s">
        <v>37</v>
      </c>
      <c r="S19" t="s">
        <v>66</v>
      </c>
      <c r="T19" t="s">
        <v>67</v>
      </c>
      <c r="U19" t="s">
        <v>27</v>
      </c>
    </row>
    <row r="20" spans="1:21" x14ac:dyDescent="0.3">
      <c r="A20">
        <v>10169</v>
      </c>
      <c r="B20">
        <v>30</v>
      </c>
      <c r="C20">
        <v>100</v>
      </c>
      <c r="D20">
        <v>2</v>
      </c>
      <c r="E20">
        <v>5019.8999999999996</v>
      </c>
      <c r="F20" s="1">
        <v>37722</v>
      </c>
      <c r="G20" t="s">
        <v>55</v>
      </c>
      <c r="H20">
        <v>194</v>
      </c>
      <c r="I20" t="s">
        <v>72</v>
      </c>
      <c r="J20" t="s">
        <v>61</v>
      </c>
      <c r="K20" t="s">
        <v>62</v>
      </c>
      <c r="L20" t="s">
        <v>63</v>
      </c>
      <c r="M20" t="s">
        <v>64</v>
      </c>
      <c r="N20" t="s">
        <v>65</v>
      </c>
      <c r="O20" t="s">
        <v>52</v>
      </c>
      <c r="P20">
        <v>2060</v>
      </c>
      <c r="Q20" t="s">
        <v>36</v>
      </c>
      <c r="R20" t="s">
        <v>37</v>
      </c>
      <c r="S20" t="s">
        <v>66</v>
      </c>
      <c r="T20" t="s">
        <v>67</v>
      </c>
      <c r="U20" t="s">
        <v>28</v>
      </c>
    </row>
    <row r="21" spans="1:21" x14ac:dyDescent="0.3">
      <c r="A21">
        <v>10127</v>
      </c>
      <c r="B21">
        <v>46</v>
      </c>
      <c r="C21">
        <v>100</v>
      </c>
      <c r="D21">
        <v>2</v>
      </c>
      <c r="E21">
        <v>11279.2</v>
      </c>
      <c r="F21" s="1">
        <v>37686</v>
      </c>
      <c r="G21" t="s">
        <v>55</v>
      </c>
      <c r="H21">
        <v>207</v>
      </c>
      <c r="I21" t="s">
        <v>73</v>
      </c>
      <c r="J21" t="s">
        <v>74</v>
      </c>
      <c r="K21">
        <v>2125557413</v>
      </c>
      <c r="L21" t="s">
        <v>75</v>
      </c>
      <c r="M21" t="s">
        <v>76</v>
      </c>
      <c r="N21" t="s">
        <v>23</v>
      </c>
      <c r="O21" t="s">
        <v>24</v>
      </c>
      <c r="P21">
        <v>10022</v>
      </c>
      <c r="Q21" t="s">
        <v>25</v>
      </c>
      <c r="R21" t="s">
        <v>26</v>
      </c>
      <c r="S21" t="s">
        <v>29</v>
      </c>
      <c r="T21" t="s">
        <v>77</v>
      </c>
      <c r="U21" t="s">
        <v>46</v>
      </c>
    </row>
    <row r="22" spans="1:21" x14ac:dyDescent="0.3">
      <c r="A22">
        <v>10270</v>
      </c>
      <c r="B22">
        <v>28</v>
      </c>
      <c r="C22">
        <v>100</v>
      </c>
      <c r="D22">
        <v>6</v>
      </c>
      <c r="E22">
        <v>4094.72</v>
      </c>
      <c r="F22" s="1" t="s">
        <v>180</v>
      </c>
      <c r="G22" t="s">
        <v>78</v>
      </c>
      <c r="H22">
        <v>136</v>
      </c>
      <c r="I22" t="s">
        <v>79</v>
      </c>
      <c r="J22" t="s">
        <v>47</v>
      </c>
      <c r="K22" t="s">
        <v>48</v>
      </c>
      <c r="L22" t="s">
        <v>49</v>
      </c>
      <c r="M22" t="s">
        <v>50</v>
      </c>
      <c r="N22" t="s">
        <v>51</v>
      </c>
      <c r="O22" t="s">
        <v>52</v>
      </c>
      <c r="P22">
        <v>2067</v>
      </c>
      <c r="Q22" t="s">
        <v>36</v>
      </c>
      <c r="R22" t="s">
        <v>37</v>
      </c>
      <c r="S22" t="s">
        <v>53</v>
      </c>
      <c r="T22" t="s">
        <v>54</v>
      </c>
      <c r="U22" t="s">
        <v>28</v>
      </c>
    </row>
    <row r="23" spans="1:21" x14ac:dyDescent="0.3">
      <c r="A23">
        <v>10347</v>
      </c>
      <c r="B23">
        <v>29</v>
      </c>
      <c r="C23">
        <v>100</v>
      </c>
      <c r="D23">
        <v>3</v>
      </c>
      <c r="E23">
        <v>3586.43</v>
      </c>
      <c r="F23" s="1" t="s">
        <v>181</v>
      </c>
      <c r="G23" t="s">
        <v>78</v>
      </c>
      <c r="H23">
        <v>136</v>
      </c>
      <c r="I23" t="s">
        <v>79</v>
      </c>
      <c r="J23" t="s">
        <v>30</v>
      </c>
      <c r="K23" t="s">
        <v>31</v>
      </c>
      <c r="L23" t="s">
        <v>32</v>
      </c>
      <c r="M23" t="s">
        <v>33</v>
      </c>
      <c r="N23" t="s">
        <v>34</v>
      </c>
      <c r="O23" t="s">
        <v>35</v>
      </c>
      <c r="P23">
        <v>3004</v>
      </c>
      <c r="Q23" t="s">
        <v>36</v>
      </c>
      <c r="R23" t="s">
        <v>37</v>
      </c>
      <c r="S23" t="s">
        <v>38</v>
      </c>
      <c r="T23" t="s">
        <v>39</v>
      </c>
      <c r="U23" t="s">
        <v>28</v>
      </c>
    </row>
    <row r="24" spans="1:21" x14ac:dyDescent="0.3">
      <c r="A24">
        <v>10370</v>
      </c>
      <c r="B24">
        <v>49</v>
      </c>
      <c r="C24">
        <v>100</v>
      </c>
      <c r="D24">
        <v>8</v>
      </c>
      <c r="E24">
        <v>8470.14</v>
      </c>
      <c r="F24" s="1" t="s">
        <v>184</v>
      </c>
      <c r="G24" t="s">
        <v>78</v>
      </c>
      <c r="H24">
        <v>136</v>
      </c>
      <c r="I24" t="s">
        <v>79</v>
      </c>
      <c r="J24" t="s">
        <v>61</v>
      </c>
      <c r="K24" t="s">
        <v>62</v>
      </c>
      <c r="L24" t="s">
        <v>63</v>
      </c>
      <c r="M24" t="s">
        <v>64</v>
      </c>
      <c r="N24" t="s">
        <v>65</v>
      </c>
      <c r="O24" t="s">
        <v>52</v>
      </c>
      <c r="P24">
        <v>2060</v>
      </c>
      <c r="Q24" t="s">
        <v>36</v>
      </c>
      <c r="R24" t="s">
        <v>37</v>
      </c>
      <c r="S24" t="s">
        <v>66</v>
      </c>
      <c r="T24" t="s">
        <v>67</v>
      </c>
      <c r="U24" t="s">
        <v>46</v>
      </c>
    </row>
    <row r="25" spans="1:21" x14ac:dyDescent="0.3">
      <c r="A25">
        <v>10391</v>
      </c>
      <c r="B25">
        <v>39</v>
      </c>
      <c r="C25">
        <v>63.2</v>
      </c>
      <c r="D25">
        <v>9</v>
      </c>
      <c r="E25">
        <v>2464.8000000000002</v>
      </c>
      <c r="F25" s="1">
        <v>38598</v>
      </c>
      <c r="G25" t="s">
        <v>78</v>
      </c>
      <c r="H25">
        <v>136</v>
      </c>
      <c r="I25" t="s">
        <v>79</v>
      </c>
      <c r="J25" t="s">
        <v>61</v>
      </c>
      <c r="K25" t="s">
        <v>62</v>
      </c>
      <c r="L25" t="s">
        <v>63</v>
      </c>
      <c r="M25" t="s">
        <v>64</v>
      </c>
      <c r="N25" t="s">
        <v>65</v>
      </c>
      <c r="O25" t="s">
        <v>52</v>
      </c>
      <c r="P25">
        <v>2060</v>
      </c>
      <c r="Q25" t="s">
        <v>36</v>
      </c>
      <c r="R25" t="s">
        <v>37</v>
      </c>
      <c r="S25" t="s">
        <v>66</v>
      </c>
      <c r="T25" t="s">
        <v>67</v>
      </c>
      <c r="U25" t="s">
        <v>27</v>
      </c>
    </row>
    <row r="26" spans="1:21" x14ac:dyDescent="0.3">
      <c r="A26">
        <v>10169</v>
      </c>
      <c r="B26">
        <v>35</v>
      </c>
      <c r="C26">
        <v>100</v>
      </c>
      <c r="D26">
        <v>13</v>
      </c>
      <c r="E26">
        <v>4639.25</v>
      </c>
      <c r="F26" s="1">
        <v>37722</v>
      </c>
      <c r="G26" t="s">
        <v>21</v>
      </c>
      <c r="H26">
        <v>150</v>
      </c>
      <c r="I26" t="s">
        <v>80</v>
      </c>
      <c r="J26" t="s">
        <v>61</v>
      </c>
      <c r="K26" t="s">
        <v>62</v>
      </c>
      <c r="L26" t="s">
        <v>63</v>
      </c>
      <c r="M26" t="s">
        <v>64</v>
      </c>
      <c r="N26" t="s">
        <v>65</v>
      </c>
      <c r="O26" t="s">
        <v>52</v>
      </c>
      <c r="P26">
        <v>2060</v>
      </c>
      <c r="Q26" t="s">
        <v>36</v>
      </c>
      <c r="R26" t="s">
        <v>37</v>
      </c>
      <c r="S26" t="s">
        <v>66</v>
      </c>
      <c r="T26" t="s">
        <v>67</v>
      </c>
      <c r="U26" t="s">
        <v>28</v>
      </c>
    </row>
    <row r="27" spans="1:21" x14ac:dyDescent="0.3">
      <c r="A27">
        <v>10237</v>
      </c>
      <c r="B27">
        <v>32</v>
      </c>
      <c r="C27">
        <v>100</v>
      </c>
      <c r="D27">
        <v>6</v>
      </c>
      <c r="E27">
        <v>4193.28</v>
      </c>
      <c r="F27" s="1">
        <v>38111</v>
      </c>
      <c r="G27" t="s">
        <v>21</v>
      </c>
      <c r="H27">
        <v>150</v>
      </c>
      <c r="I27" t="s">
        <v>80</v>
      </c>
      <c r="J27" t="s">
        <v>40</v>
      </c>
      <c r="K27">
        <v>2125551500</v>
      </c>
      <c r="L27" t="s">
        <v>41</v>
      </c>
      <c r="M27" t="s">
        <v>42</v>
      </c>
      <c r="N27" t="s">
        <v>23</v>
      </c>
      <c r="O27" t="s">
        <v>24</v>
      </c>
      <c r="P27">
        <v>10022</v>
      </c>
      <c r="Q27" t="s">
        <v>25</v>
      </c>
      <c r="R27" t="s">
        <v>26</v>
      </c>
      <c r="S27" t="s">
        <v>43</v>
      </c>
      <c r="T27" t="s">
        <v>44</v>
      </c>
      <c r="U27" t="s">
        <v>28</v>
      </c>
    </row>
    <row r="28" spans="1:21" x14ac:dyDescent="0.3">
      <c r="A28">
        <v>10319</v>
      </c>
      <c r="B28">
        <v>30</v>
      </c>
      <c r="C28">
        <v>100</v>
      </c>
      <c r="D28">
        <v>9</v>
      </c>
      <c r="E28">
        <v>4111.8</v>
      </c>
      <c r="F28" s="1">
        <v>38057</v>
      </c>
      <c r="G28" t="s">
        <v>21</v>
      </c>
      <c r="H28">
        <v>150</v>
      </c>
      <c r="I28" t="s">
        <v>80</v>
      </c>
      <c r="J28" t="s">
        <v>81</v>
      </c>
      <c r="K28">
        <v>2125551957</v>
      </c>
      <c r="L28" t="s">
        <v>82</v>
      </c>
      <c r="M28" t="s">
        <v>83</v>
      </c>
      <c r="N28" t="s">
        <v>23</v>
      </c>
      <c r="O28" t="s">
        <v>24</v>
      </c>
      <c r="P28">
        <v>10022</v>
      </c>
      <c r="Q28" t="s">
        <v>25</v>
      </c>
      <c r="R28" t="s">
        <v>26</v>
      </c>
      <c r="S28" t="s">
        <v>84</v>
      </c>
      <c r="T28" t="s">
        <v>85</v>
      </c>
      <c r="U28" t="s">
        <v>28</v>
      </c>
    </row>
    <row r="29" spans="1:21" x14ac:dyDescent="0.3">
      <c r="A29">
        <v>10127</v>
      </c>
      <c r="B29">
        <v>46</v>
      </c>
      <c r="C29">
        <v>100</v>
      </c>
      <c r="D29">
        <v>3</v>
      </c>
      <c r="E29">
        <v>7366.44</v>
      </c>
      <c r="F29" s="1">
        <v>37686</v>
      </c>
      <c r="G29" t="s">
        <v>55</v>
      </c>
      <c r="H29">
        <v>151</v>
      </c>
      <c r="I29" t="s">
        <v>86</v>
      </c>
      <c r="J29" t="s">
        <v>74</v>
      </c>
      <c r="K29">
        <v>2125557413</v>
      </c>
      <c r="L29" t="s">
        <v>75</v>
      </c>
      <c r="M29" t="s">
        <v>76</v>
      </c>
      <c r="N29" t="s">
        <v>23</v>
      </c>
      <c r="O29" t="s">
        <v>24</v>
      </c>
      <c r="P29">
        <v>10022</v>
      </c>
      <c r="Q29" t="s">
        <v>25</v>
      </c>
      <c r="R29" t="s">
        <v>26</v>
      </c>
      <c r="S29" t="s">
        <v>29</v>
      </c>
      <c r="T29" t="s">
        <v>77</v>
      </c>
      <c r="U29" t="s">
        <v>46</v>
      </c>
    </row>
    <row r="30" spans="1:21" x14ac:dyDescent="0.3">
      <c r="A30">
        <v>10324</v>
      </c>
      <c r="B30">
        <v>27</v>
      </c>
      <c r="C30">
        <v>54.33</v>
      </c>
      <c r="D30">
        <v>1</v>
      </c>
      <c r="E30">
        <v>1466.91</v>
      </c>
      <c r="F30" s="1">
        <v>38118</v>
      </c>
      <c r="G30" t="s">
        <v>55</v>
      </c>
      <c r="H30">
        <v>151</v>
      </c>
      <c r="I30" t="s">
        <v>86</v>
      </c>
      <c r="J30" t="s">
        <v>40</v>
      </c>
      <c r="K30">
        <v>2125551500</v>
      </c>
      <c r="L30" t="s">
        <v>41</v>
      </c>
      <c r="M30" t="s">
        <v>42</v>
      </c>
      <c r="N30" t="s">
        <v>23</v>
      </c>
      <c r="O30" t="s">
        <v>24</v>
      </c>
      <c r="P30">
        <v>10022</v>
      </c>
      <c r="Q30" t="s">
        <v>25</v>
      </c>
      <c r="R30" t="s">
        <v>26</v>
      </c>
      <c r="S30" t="s">
        <v>43</v>
      </c>
      <c r="T30" t="s">
        <v>44</v>
      </c>
      <c r="U30" t="s">
        <v>27</v>
      </c>
    </row>
    <row r="31" spans="1:21" x14ac:dyDescent="0.3">
      <c r="A31">
        <v>10127</v>
      </c>
      <c r="B31">
        <v>42</v>
      </c>
      <c r="C31">
        <v>100</v>
      </c>
      <c r="D31">
        <v>1</v>
      </c>
      <c r="E31">
        <v>8138.76</v>
      </c>
      <c r="F31" s="1">
        <v>37686</v>
      </c>
      <c r="G31" t="s">
        <v>55</v>
      </c>
      <c r="H31">
        <v>173</v>
      </c>
      <c r="I31" t="s">
        <v>87</v>
      </c>
      <c r="J31" t="s">
        <v>74</v>
      </c>
      <c r="K31">
        <v>2125557413</v>
      </c>
      <c r="L31" t="s">
        <v>75</v>
      </c>
      <c r="M31" t="s">
        <v>76</v>
      </c>
      <c r="N31" t="s">
        <v>23</v>
      </c>
      <c r="O31" t="s">
        <v>24</v>
      </c>
      <c r="P31">
        <v>10022</v>
      </c>
      <c r="Q31" t="s">
        <v>25</v>
      </c>
      <c r="R31" t="s">
        <v>26</v>
      </c>
      <c r="S31" t="s">
        <v>29</v>
      </c>
      <c r="T31" t="s">
        <v>77</v>
      </c>
      <c r="U31" t="s">
        <v>46</v>
      </c>
    </row>
    <row r="32" spans="1:21" x14ac:dyDescent="0.3">
      <c r="A32">
        <v>10349</v>
      </c>
      <c r="B32">
        <v>26</v>
      </c>
      <c r="C32">
        <v>100</v>
      </c>
      <c r="D32">
        <v>10</v>
      </c>
      <c r="E32">
        <v>4408.5600000000004</v>
      </c>
      <c r="F32" s="1">
        <v>37998</v>
      </c>
      <c r="G32" t="s">
        <v>55</v>
      </c>
      <c r="H32">
        <v>173</v>
      </c>
      <c r="I32" t="s">
        <v>87</v>
      </c>
      <c r="J32" t="s">
        <v>74</v>
      </c>
      <c r="K32">
        <v>2125557413</v>
      </c>
      <c r="L32" t="s">
        <v>75</v>
      </c>
      <c r="M32" t="s">
        <v>76</v>
      </c>
      <c r="N32" t="s">
        <v>23</v>
      </c>
      <c r="O32" t="s">
        <v>24</v>
      </c>
      <c r="P32">
        <v>10022</v>
      </c>
      <c r="Q32" t="s">
        <v>25</v>
      </c>
      <c r="R32" t="s">
        <v>26</v>
      </c>
      <c r="S32" t="s">
        <v>29</v>
      </c>
      <c r="T32" t="s">
        <v>77</v>
      </c>
      <c r="U32" t="s">
        <v>28</v>
      </c>
    </row>
    <row r="33" spans="1:21" x14ac:dyDescent="0.3">
      <c r="A33">
        <v>10169</v>
      </c>
      <c r="B33">
        <v>36</v>
      </c>
      <c r="C33">
        <v>63.84</v>
      </c>
      <c r="D33">
        <v>3</v>
      </c>
      <c r="E33">
        <v>2298.2399999999998</v>
      </c>
      <c r="F33" s="1">
        <v>37722</v>
      </c>
      <c r="G33" t="s">
        <v>55</v>
      </c>
      <c r="H33">
        <v>79</v>
      </c>
      <c r="I33" t="s">
        <v>88</v>
      </c>
      <c r="J33" t="s">
        <v>61</v>
      </c>
      <c r="K33" t="s">
        <v>62</v>
      </c>
      <c r="L33" t="s">
        <v>63</v>
      </c>
      <c r="M33" t="s">
        <v>64</v>
      </c>
      <c r="N33" t="s">
        <v>65</v>
      </c>
      <c r="O33" t="s">
        <v>52</v>
      </c>
      <c r="P33">
        <v>2060</v>
      </c>
      <c r="Q33" t="s">
        <v>36</v>
      </c>
      <c r="R33" t="s">
        <v>37</v>
      </c>
      <c r="S33" t="s">
        <v>66</v>
      </c>
      <c r="T33" t="s">
        <v>67</v>
      </c>
      <c r="U33" t="s">
        <v>27</v>
      </c>
    </row>
    <row r="34" spans="1:21" x14ac:dyDescent="0.3">
      <c r="A34">
        <v>10115</v>
      </c>
      <c r="B34">
        <v>46</v>
      </c>
      <c r="C34">
        <v>100</v>
      </c>
      <c r="D34">
        <v>5</v>
      </c>
      <c r="E34">
        <v>5723.78</v>
      </c>
      <c r="F34" s="1">
        <v>37715</v>
      </c>
      <c r="G34" t="s">
        <v>78</v>
      </c>
      <c r="H34">
        <v>118</v>
      </c>
      <c r="I34" t="s">
        <v>89</v>
      </c>
      <c r="J34" t="s">
        <v>57</v>
      </c>
      <c r="K34">
        <v>2125558493</v>
      </c>
      <c r="L34" t="s">
        <v>58</v>
      </c>
      <c r="M34" t="s">
        <v>59</v>
      </c>
      <c r="N34" t="s">
        <v>23</v>
      </c>
      <c r="O34" t="s">
        <v>24</v>
      </c>
      <c r="P34">
        <v>10022</v>
      </c>
      <c r="Q34" t="s">
        <v>25</v>
      </c>
      <c r="R34" t="s">
        <v>26</v>
      </c>
      <c r="S34" t="s">
        <v>45</v>
      </c>
      <c r="T34" t="s">
        <v>60</v>
      </c>
      <c r="U34" t="s">
        <v>28</v>
      </c>
    </row>
    <row r="35" spans="1:21" x14ac:dyDescent="0.3">
      <c r="A35">
        <v>10127</v>
      </c>
      <c r="B35">
        <v>24</v>
      </c>
      <c r="C35">
        <v>100</v>
      </c>
      <c r="D35">
        <v>11</v>
      </c>
      <c r="E35">
        <v>2559.6</v>
      </c>
      <c r="F35" s="1">
        <v>37686</v>
      </c>
      <c r="G35" t="s">
        <v>78</v>
      </c>
      <c r="H35">
        <v>118</v>
      </c>
      <c r="I35" t="s">
        <v>89</v>
      </c>
      <c r="J35" t="s">
        <v>74</v>
      </c>
      <c r="K35">
        <v>2125557413</v>
      </c>
      <c r="L35" t="s">
        <v>75</v>
      </c>
      <c r="M35" t="s">
        <v>76</v>
      </c>
      <c r="N35" t="s">
        <v>23</v>
      </c>
      <c r="O35" t="s">
        <v>24</v>
      </c>
      <c r="P35">
        <v>10022</v>
      </c>
      <c r="Q35" t="s">
        <v>25</v>
      </c>
      <c r="R35" t="s">
        <v>26</v>
      </c>
      <c r="S35" t="s">
        <v>29</v>
      </c>
      <c r="T35" t="s">
        <v>77</v>
      </c>
      <c r="U35" t="s">
        <v>27</v>
      </c>
    </row>
    <row r="36" spans="1:21" x14ac:dyDescent="0.3">
      <c r="A36">
        <v>10324</v>
      </c>
      <c r="B36">
        <v>26</v>
      </c>
      <c r="C36">
        <v>58.38</v>
      </c>
      <c r="D36">
        <v>7</v>
      </c>
      <c r="E36">
        <v>1517.88</v>
      </c>
      <c r="F36" s="1">
        <v>38118</v>
      </c>
      <c r="G36" t="s">
        <v>78</v>
      </c>
      <c r="H36">
        <v>118</v>
      </c>
      <c r="I36" t="s">
        <v>89</v>
      </c>
      <c r="J36" t="s">
        <v>40</v>
      </c>
      <c r="K36">
        <v>2125551500</v>
      </c>
      <c r="L36" t="s">
        <v>41</v>
      </c>
      <c r="M36" t="s">
        <v>42</v>
      </c>
      <c r="N36" t="s">
        <v>23</v>
      </c>
      <c r="O36" t="s">
        <v>24</v>
      </c>
      <c r="P36">
        <v>10022</v>
      </c>
      <c r="Q36" t="s">
        <v>25</v>
      </c>
      <c r="R36" t="s">
        <v>26</v>
      </c>
      <c r="S36" t="s">
        <v>43</v>
      </c>
      <c r="T36" t="s">
        <v>44</v>
      </c>
      <c r="U36" t="s">
        <v>27</v>
      </c>
    </row>
    <row r="37" spans="1:21" x14ac:dyDescent="0.3">
      <c r="A37">
        <v>10349</v>
      </c>
      <c r="B37">
        <v>48</v>
      </c>
      <c r="C37">
        <v>100</v>
      </c>
      <c r="D37">
        <v>9</v>
      </c>
      <c r="E37">
        <v>5232.96</v>
      </c>
      <c r="F37" s="1">
        <v>37998</v>
      </c>
      <c r="G37" t="s">
        <v>78</v>
      </c>
      <c r="H37">
        <v>118</v>
      </c>
      <c r="I37" t="s">
        <v>89</v>
      </c>
      <c r="J37" t="s">
        <v>74</v>
      </c>
      <c r="K37">
        <v>2125557413</v>
      </c>
      <c r="L37" t="s">
        <v>75</v>
      </c>
      <c r="M37" t="s">
        <v>76</v>
      </c>
      <c r="N37" t="s">
        <v>23</v>
      </c>
      <c r="O37" t="s">
        <v>24</v>
      </c>
      <c r="P37">
        <v>10022</v>
      </c>
      <c r="Q37" t="s">
        <v>25</v>
      </c>
      <c r="R37" t="s">
        <v>26</v>
      </c>
      <c r="S37" t="s">
        <v>29</v>
      </c>
      <c r="T37" t="s">
        <v>77</v>
      </c>
      <c r="U37" t="s">
        <v>28</v>
      </c>
    </row>
    <row r="38" spans="1:21" x14ac:dyDescent="0.3">
      <c r="A38">
        <v>10270</v>
      </c>
      <c r="B38">
        <v>43</v>
      </c>
      <c r="C38">
        <v>96.84</v>
      </c>
      <c r="D38">
        <v>8</v>
      </c>
      <c r="E38">
        <v>4164.12</v>
      </c>
      <c r="F38" s="1" t="s">
        <v>180</v>
      </c>
      <c r="G38" t="s">
        <v>78</v>
      </c>
      <c r="H38">
        <v>116</v>
      </c>
      <c r="I38" t="s">
        <v>90</v>
      </c>
      <c r="J38" t="s">
        <v>47</v>
      </c>
      <c r="K38" t="s">
        <v>48</v>
      </c>
      <c r="L38" t="s">
        <v>49</v>
      </c>
      <c r="M38" t="s">
        <v>50</v>
      </c>
      <c r="N38" t="s">
        <v>51</v>
      </c>
      <c r="O38" t="s">
        <v>52</v>
      </c>
      <c r="P38">
        <v>2067</v>
      </c>
      <c r="Q38" t="s">
        <v>36</v>
      </c>
      <c r="R38" t="s">
        <v>37</v>
      </c>
      <c r="S38" t="s">
        <v>53</v>
      </c>
      <c r="T38" t="s">
        <v>54</v>
      </c>
      <c r="U38" t="s">
        <v>28</v>
      </c>
    </row>
    <row r="39" spans="1:21" x14ac:dyDescent="0.3">
      <c r="A39">
        <v>10347</v>
      </c>
      <c r="B39">
        <v>42</v>
      </c>
      <c r="C39">
        <v>49.6</v>
      </c>
      <c r="D39">
        <v>5</v>
      </c>
      <c r="E39">
        <v>2083.1999999999998</v>
      </c>
      <c r="F39" s="1" t="s">
        <v>181</v>
      </c>
      <c r="G39" t="s">
        <v>78</v>
      </c>
      <c r="H39">
        <v>116</v>
      </c>
      <c r="I39" t="s">
        <v>90</v>
      </c>
      <c r="J39" t="s">
        <v>30</v>
      </c>
      <c r="K39" t="s">
        <v>31</v>
      </c>
      <c r="L39" t="s">
        <v>32</v>
      </c>
      <c r="M39" t="s">
        <v>33</v>
      </c>
      <c r="N39" t="s">
        <v>34</v>
      </c>
      <c r="O39" t="s">
        <v>35</v>
      </c>
      <c r="P39">
        <v>3004</v>
      </c>
      <c r="Q39" t="s">
        <v>36</v>
      </c>
      <c r="R39" t="s">
        <v>37</v>
      </c>
      <c r="S39" t="s">
        <v>38</v>
      </c>
      <c r="T39" t="s">
        <v>39</v>
      </c>
      <c r="U39" t="s">
        <v>27</v>
      </c>
    </row>
    <row r="40" spans="1:21" x14ac:dyDescent="0.3">
      <c r="A40">
        <v>10370</v>
      </c>
      <c r="B40">
        <v>27</v>
      </c>
      <c r="C40">
        <v>100</v>
      </c>
      <c r="D40">
        <v>1</v>
      </c>
      <c r="E40">
        <v>3911.49</v>
      </c>
      <c r="F40" s="1" t="s">
        <v>184</v>
      </c>
      <c r="G40" t="s">
        <v>78</v>
      </c>
      <c r="H40">
        <v>116</v>
      </c>
      <c r="I40" t="s">
        <v>90</v>
      </c>
      <c r="J40" t="s">
        <v>61</v>
      </c>
      <c r="K40" t="s">
        <v>62</v>
      </c>
      <c r="L40" t="s">
        <v>63</v>
      </c>
      <c r="M40" t="s">
        <v>64</v>
      </c>
      <c r="N40" t="s">
        <v>65</v>
      </c>
      <c r="O40" t="s">
        <v>52</v>
      </c>
      <c r="P40">
        <v>2060</v>
      </c>
      <c r="Q40" t="s">
        <v>36</v>
      </c>
      <c r="R40" t="s">
        <v>37</v>
      </c>
      <c r="S40" t="s">
        <v>66</v>
      </c>
      <c r="T40" t="s">
        <v>67</v>
      </c>
      <c r="U40" t="s">
        <v>28</v>
      </c>
    </row>
    <row r="41" spans="1:21" x14ac:dyDescent="0.3">
      <c r="A41">
        <v>10391</v>
      </c>
      <c r="B41">
        <v>29</v>
      </c>
      <c r="C41">
        <v>85.1</v>
      </c>
      <c r="D41">
        <v>10</v>
      </c>
      <c r="E41">
        <v>2467.9</v>
      </c>
      <c r="F41" s="1">
        <v>38598</v>
      </c>
      <c r="G41" t="s">
        <v>78</v>
      </c>
      <c r="H41">
        <v>116</v>
      </c>
      <c r="I41" t="s">
        <v>90</v>
      </c>
      <c r="J41" t="s">
        <v>61</v>
      </c>
      <c r="K41" t="s">
        <v>62</v>
      </c>
      <c r="L41" t="s">
        <v>63</v>
      </c>
      <c r="M41" t="s">
        <v>64</v>
      </c>
      <c r="N41" t="s">
        <v>65</v>
      </c>
      <c r="O41" t="s">
        <v>52</v>
      </c>
      <c r="P41">
        <v>2060</v>
      </c>
      <c r="Q41" t="s">
        <v>36</v>
      </c>
      <c r="R41" t="s">
        <v>37</v>
      </c>
      <c r="S41" t="s">
        <v>66</v>
      </c>
      <c r="T41" t="s">
        <v>67</v>
      </c>
      <c r="U41" t="s">
        <v>27</v>
      </c>
    </row>
    <row r="42" spans="1:21" x14ac:dyDescent="0.3">
      <c r="A42">
        <v>10148</v>
      </c>
      <c r="B42">
        <v>23</v>
      </c>
      <c r="C42">
        <v>100</v>
      </c>
      <c r="D42">
        <v>13</v>
      </c>
      <c r="E42">
        <v>2702.04</v>
      </c>
      <c r="F42" s="1">
        <v>37934</v>
      </c>
      <c r="G42" t="s">
        <v>55</v>
      </c>
      <c r="H42">
        <v>141</v>
      </c>
      <c r="I42" t="s">
        <v>91</v>
      </c>
      <c r="J42" t="s">
        <v>61</v>
      </c>
      <c r="K42" t="s">
        <v>62</v>
      </c>
      <c r="L42" t="s">
        <v>63</v>
      </c>
      <c r="M42" t="s">
        <v>64</v>
      </c>
      <c r="N42" t="s">
        <v>65</v>
      </c>
      <c r="O42" t="s">
        <v>52</v>
      </c>
      <c r="P42">
        <v>2060</v>
      </c>
      <c r="Q42" t="s">
        <v>36</v>
      </c>
      <c r="R42" t="s">
        <v>37</v>
      </c>
      <c r="S42" t="s">
        <v>66</v>
      </c>
      <c r="T42" t="s">
        <v>67</v>
      </c>
      <c r="U42" t="s">
        <v>27</v>
      </c>
    </row>
    <row r="43" spans="1:21" x14ac:dyDescent="0.3">
      <c r="A43">
        <v>10204</v>
      </c>
      <c r="B43">
        <v>42</v>
      </c>
      <c r="C43">
        <v>100</v>
      </c>
      <c r="D43">
        <v>17</v>
      </c>
      <c r="E43">
        <v>6182.4</v>
      </c>
      <c r="F43" s="1">
        <v>37664</v>
      </c>
      <c r="G43" t="s">
        <v>55</v>
      </c>
      <c r="H43">
        <v>141</v>
      </c>
      <c r="I43" t="s">
        <v>91</v>
      </c>
      <c r="J43" t="s">
        <v>74</v>
      </c>
      <c r="K43">
        <v>2125557413</v>
      </c>
      <c r="L43" t="s">
        <v>75</v>
      </c>
      <c r="M43" t="s">
        <v>76</v>
      </c>
      <c r="N43" t="s">
        <v>23</v>
      </c>
      <c r="O43" t="s">
        <v>24</v>
      </c>
      <c r="P43">
        <v>10022</v>
      </c>
      <c r="Q43" t="s">
        <v>25</v>
      </c>
      <c r="R43" t="s">
        <v>26</v>
      </c>
      <c r="S43" t="s">
        <v>29</v>
      </c>
      <c r="T43" t="s">
        <v>77</v>
      </c>
      <c r="U43" t="s">
        <v>28</v>
      </c>
    </row>
    <row r="44" spans="1:21" x14ac:dyDescent="0.3">
      <c r="A44">
        <v>10342</v>
      </c>
      <c r="B44">
        <v>40</v>
      </c>
      <c r="C44">
        <v>100</v>
      </c>
      <c r="D44">
        <v>2</v>
      </c>
      <c r="E44">
        <v>6454.4</v>
      </c>
      <c r="F44" s="1" t="s">
        <v>185</v>
      </c>
      <c r="G44" t="s">
        <v>55</v>
      </c>
      <c r="H44">
        <v>141</v>
      </c>
      <c r="I44" t="s">
        <v>91</v>
      </c>
      <c r="J44" t="s">
        <v>30</v>
      </c>
      <c r="K44" t="s">
        <v>31</v>
      </c>
      <c r="L44" t="s">
        <v>32</v>
      </c>
      <c r="M44" t="s">
        <v>33</v>
      </c>
      <c r="N44" t="s">
        <v>34</v>
      </c>
      <c r="O44" t="s">
        <v>35</v>
      </c>
      <c r="P44">
        <v>3004</v>
      </c>
      <c r="Q44" t="s">
        <v>36</v>
      </c>
      <c r="R44" t="s">
        <v>37</v>
      </c>
      <c r="S44" t="s">
        <v>38</v>
      </c>
      <c r="T44" t="s">
        <v>39</v>
      </c>
      <c r="U44" t="s">
        <v>28</v>
      </c>
    </row>
    <row r="45" spans="1:21" x14ac:dyDescent="0.3">
      <c r="A45">
        <v>10102</v>
      </c>
      <c r="B45">
        <v>39</v>
      </c>
      <c r="C45">
        <v>100</v>
      </c>
      <c r="D45">
        <v>2</v>
      </c>
      <c r="E45">
        <v>4808.3100000000004</v>
      </c>
      <c r="F45" s="1">
        <v>37895</v>
      </c>
      <c r="G45" t="s">
        <v>92</v>
      </c>
      <c r="H45">
        <v>102</v>
      </c>
      <c r="I45" t="s">
        <v>93</v>
      </c>
      <c r="J45" t="s">
        <v>40</v>
      </c>
      <c r="K45">
        <v>2125551500</v>
      </c>
      <c r="L45" t="s">
        <v>41</v>
      </c>
      <c r="M45" t="s">
        <v>42</v>
      </c>
      <c r="N45" t="s">
        <v>23</v>
      </c>
      <c r="O45" t="s">
        <v>24</v>
      </c>
      <c r="P45">
        <v>10022</v>
      </c>
      <c r="Q45" t="s">
        <v>25</v>
      </c>
      <c r="R45" t="s">
        <v>26</v>
      </c>
      <c r="S45" t="s">
        <v>43</v>
      </c>
      <c r="T45" t="s">
        <v>44</v>
      </c>
      <c r="U45" t="s">
        <v>28</v>
      </c>
    </row>
    <row r="46" spans="1:21" x14ac:dyDescent="0.3">
      <c r="A46">
        <v>10125</v>
      </c>
      <c r="B46">
        <v>32</v>
      </c>
      <c r="C46">
        <v>100</v>
      </c>
      <c r="D46">
        <v>1</v>
      </c>
      <c r="E46">
        <v>3254.72</v>
      </c>
      <c r="F46" s="1" t="s">
        <v>186</v>
      </c>
      <c r="G46" t="s">
        <v>92</v>
      </c>
      <c r="H46">
        <v>102</v>
      </c>
      <c r="I46" t="s">
        <v>93</v>
      </c>
      <c r="J46" t="s">
        <v>30</v>
      </c>
      <c r="K46" t="s">
        <v>31</v>
      </c>
      <c r="L46" t="s">
        <v>32</v>
      </c>
      <c r="M46" t="s">
        <v>33</v>
      </c>
      <c r="N46" t="s">
        <v>34</v>
      </c>
      <c r="O46" t="s">
        <v>35</v>
      </c>
      <c r="P46">
        <v>3004</v>
      </c>
      <c r="Q46" t="s">
        <v>36</v>
      </c>
      <c r="R46" t="s">
        <v>37</v>
      </c>
      <c r="S46" t="s">
        <v>38</v>
      </c>
      <c r="T46" t="s">
        <v>39</v>
      </c>
      <c r="U46" t="s">
        <v>28</v>
      </c>
    </row>
    <row r="47" spans="1:21" x14ac:dyDescent="0.3">
      <c r="A47">
        <v>10139</v>
      </c>
      <c r="B47">
        <v>31</v>
      </c>
      <c r="C47">
        <v>100</v>
      </c>
      <c r="D47">
        <v>7</v>
      </c>
      <c r="E47">
        <v>3184.94</v>
      </c>
      <c r="F47" s="1" t="s">
        <v>187</v>
      </c>
      <c r="G47" t="s">
        <v>92</v>
      </c>
      <c r="H47">
        <v>102</v>
      </c>
      <c r="I47" t="s">
        <v>93</v>
      </c>
      <c r="J47" t="s">
        <v>47</v>
      </c>
      <c r="K47" t="s">
        <v>48</v>
      </c>
      <c r="L47" t="s">
        <v>49</v>
      </c>
      <c r="M47" t="s">
        <v>50</v>
      </c>
      <c r="N47" t="s">
        <v>51</v>
      </c>
      <c r="O47" t="s">
        <v>52</v>
      </c>
      <c r="P47">
        <v>2067</v>
      </c>
      <c r="Q47" t="s">
        <v>36</v>
      </c>
      <c r="R47" t="s">
        <v>37</v>
      </c>
      <c r="S47" t="s">
        <v>53</v>
      </c>
      <c r="T47" t="s">
        <v>54</v>
      </c>
      <c r="U47" t="s">
        <v>28</v>
      </c>
    </row>
    <row r="48" spans="1:21" x14ac:dyDescent="0.3">
      <c r="A48">
        <v>10391</v>
      </c>
      <c r="B48">
        <v>35</v>
      </c>
      <c r="C48">
        <v>100</v>
      </c>
      <c r="D48">
        <v>2</v>
      </c>
      <c r="E48">
        <v>5548.9</v>
      </c>
      <c r="F48" s="1">
        <v>38598</v>
      </c>
      <c r="G48" t="s">
        <v>92</v>
      </c>
      <c r="H48">
        <v>102</v>
      </c>
      <c r="I48" t="s">
        <v>93</v>
      </c>
      <c r="J48" t="s">
        <v>61</v>
      </c>
      <c r="K48" t="s">
        <v>62</v>
      </c>
      <c r="L48" t="s">
        <v>63</v>
      </c>
      <c r="M48" t="s">
        <v>64</v>
      </c>
      <c r="N48" t="s">
        <v>65</v>
      </c>
      <c r="O48" t="s">
        <v>52</v>
      </c>
      <c r="P48">
        <v>2060</v>
      </c>
      <c r="Q48" t="s">
        <v>36</v>
      </c>
      <c r="R48" t="s">
        <v>37</v>
      </c>
      <c r="S48" t="s">
        <v>66</v>
      </c>
      <c r="T48" t="s">
        <v>67</v>
      </c>
      <c r="U48" t="s">
        <v>28</v>
      </c>
    </row>
    <row r="49" spans="1:21" x14ac:dyDescent="0.3">
      <c r="A49">
        <v>10102</v>
      </c>
      <c r="B49">
        <v>41</v>
      </c>
      <c r="C49">
        <v>50.14</v>
      </c>
      <c r="D49">
        <v>1</v>
      </c>
      <c r="E49">
        <v>2055.7399999999998</v>
      </c>
      <c r="F49" s="1">
        <v>37895</v>
      </c>
      <c r="G49" t="s">
        <v>92</v>
      </c>
      <c r="H49">
        <v>53</v>
      </c>
      <c r="I49" t="s">
        <v>94</v>
      </c>
      <c r="J49" t="s">
        <v>40</v>
      </c>
      <c r="K49">
        <v>2125551500</v>
      </c>
      <c r="L49" t="s">
        <v>41</v>
      </c>
      <c r="M49" t="s">
        <v>42</v>
      </c>
      <c r="N49" t="s">
        <v>23</v>
      </c>
      <c r="O49" t="s">
        <v>24</v>
      </c>
      <c r="P49">
        <v>10022</v>
      </c>
      <c r="Q49" t="s">
        <v>25</v>
      </c>
      <c r="R49" t="s">
        <v>26</v>
      </c>
      <c r="S49" t="s">
        <v>43</v>
      </c>
      <c r="T49" t="s">
        <v>44</v>
      </c>
      <c r="U49" t="s">
        <v>27</v>
      </c>
    </row>
    <row r="50" spans="1:21" x14ac:dyDescent="0.3">
      <c r="A50">
        <v>10139</v>
      </c>
      <c r="B50">
        <v>49</v>
      </c>
      <c r="C50">
        <v>43.13</v>
      </c>
      <c r="D50">
        <v>6</v>
      </c>
      <c r="E50">
        <v>2113.37</v>
      </c>
      <c r="F50" s="1" t="s">
        <v>187</v>
      </c>
      <c r="G50" t="s">
        <v>92</v>
      </c>
      <c r="H50">
        <v>53</v>
      </c>
      <c r="I50" t="s">
        <v>94</v>
      </c>
      <c r="J50" t="s">
        <v>47</v>
      </c>
      <c r="K50" t="s">
        <v>48</v>
      </c>
      <c r="L50" t="s">
        <v>49</v>
      </c>
      <c r="M50" t="s">
        <v>50</v>
      </c>
      <c r="N50" t="s">
        <v>51</v>
      </c>
      <c r="O50" t="s">
        <v>52</v>
      </c>
      <c r="P50">
        <v>2067</v>
      </c>
      <c r="Q50" t="s">
        <v>36</v>
      </c>
      <c r="R50" t="s">
        <v>37</v>
      </c>
      <c r="S50" t="s">
        <v>53</v>
      </c>
      <c r="T50" t="s">
        <v>54</v>
      </c>
      <c r="U50" t="s">
        <v>27</v>
      </c>
    </row>
    <row r="51" spans="1:21" x14ac:dyDescent="0.3">
      <c r="A51">
        <v>10347</v>
      </c>
      <c r="B51">
        <v>21</v>
      </c>
      <c r="C51">
        <v>58.95</v>
      </c>
      <c r="D51">
        <v>7</v>
      </c>
      <c r="E51">
        <v>1237.95</v>
      </c>
      <c r="F51" s="1" t="s">
        <v>181</v>
      </c>
      <c r="G51" t="s">
        <v>92</v>
      </c>
      <c r="H51">
        <v>53</v>
      </c>
      <c r="I51" t="s">
        <v>94</v>
      </c>
      <c r="J51" t="s">
        <v>30</v>
      </c>
      <c r="K51" t="s">
        <v>31</v>
      </c>
      <c r="L51" t="s">
        <v>32</v>
      </c>
      <c r="M51" t="s">
        <v>33</v>
      </c>
      <c r="N51" t="s">
        <v>34</v>
      </c>
      <c r="O51" t="s">
        <v>35</v>
      </c>
      <c r="P51">
        <v>3004</v>
      </c>
      <c r="Q51" t="s">
        <v>36</v>
      </c>
      <c r="R51" t="s">
        <v>37</v>
      </c>
      <c r="S51" t="s">
        <v>38</v>
      </c>
      <c r="T51" t="s">
        <v>39</v>
      </c>
      <c r="U51" t="s">
        <v>27</v>
      </c>
    </row>
    <row r="52" spans="1:21" x14ac:dyDescent="0.3">
      <c r="A52">
        <v>10391</v>
      </c>
      <c r="B52">
        <v>42</v>
      </c>
      <c r="C52">
        <v>100</v>
      </c>
      <c r="D52">
        <v>3</v>
      </c>
      <c r="E52">
        <v>4998</v>
      </c>
      <c r="F52" s="1">
        <v>38598</v>
      </c>
      <c r="G52" t="s">
        <v>92</v>
      </c>
      <c r="H52">
        <v>53</v>
      </c>
      <c r="I52" t="s">
        <v>94</v>
      </c>
      <c r="J52" t="s">
        <v>61</v>
      </c>
      <c r="K52" t="s">
        <v>62</v>
      </c>
      <c r="L52" t="s">
        <v>63</v>
      </c>
      <c r="M52" t="s">
        <v>64</v>
      </c>
      <c r="N52" t="s">
        <v>65</v>
      </c>
      <c r="O52" t="s">
        <v>52</v>
      </c>
      <c r="P52">
        <v>2060</v>
      </c>
      <c r="Q52" t="s">
        <v>36</v>
      </c>
      <c r="R52" t="s">
        <v>37</v>
      </c>
      <c r="S52" t="s">
        <v>66</v>
      </c>
      <c r="T52" t="s">
        <v>67</v>
      </c>
      <c r="U52" t="s">
        <v>28</v>
      </c>
    </row>
    <row r="53" spans="1:21" x14ac:dyDescent="0.3">
      <c r="A53">
        <v>10148</v>
      </c>
      <c r="B53">
        <v>47</v>
      </c>
      <c r="C53">
        <v>100</v>
      </c>
      <c r="D53">
        <v>9</v>
      </c>
      <c r="E53">
        <v>5848.68</v>
      </c>
      <c r="F53" s="1">
        <v>37934</v>
      </c>
      <c r="G53" t="s">
        <v>55</v>
      </c>
      <c r="H53">
        <v>124</v>
      </c>
      <c r="I53" t="s">
        <v>95</v>
      </c>
      <c r="J53" t="s">
        <v>61</v>
      </c>
      <c r="K53" t="s">
        <v>62</v>
      </c>
      <c r="L53" t="s">
        <v>63</v>
      </c>
      <c r="M53" t="s">
        <v>64</v>
      </c>
      <c r="N53" t="s">
        <v>65</v>
      </c>
      <c r="O53" t="s">
        <v>52</v>
      </c>
      <c r="P53">
        <v>2060</v>
      </c>
      <c r="Q53" t="s">
        <v>36</v>
      </c>
      <c r="R53" t="s">
        <v>37</v>
      </c>
      <c r="S53" t="s">
        <v>66</v>
      </c>
      <c r="T53" t="s">
        <v>67</v>
      </c>
      <c r="U53" t="s">
        <v>28</v>
      </c>
    </row>
    <row r="54" spans="1:21" x14ac:dyDescent="0.3">
      <c r="A54">
        <v>10204</v>
      </c>
      <c r="B54">
        <v>40</v>
      </c>
      <c r="C54">
        <v>100</v>
      </c>
      <c r="D54">
        <v>13</v>
      </c>
      <c r="E54">
        <v>4032</v>
      </c>
      <c r="F54" s="1">
        <v>37664</v>
      </c>
      <c r="G54" t="s">
        <v>55</v>
      </c>
      <c r="H54">
        <v>124</v>
      </c>
      <c r="I54" t="s">
        <v>95</v>
      </c>
      <c r="J54" t="s">
        <v>74</v>
      </c>
      <c r="K54">
        <v>2125557413</v>
      </c>
      <c r="L54" t="s">
        <v>75</v>
      </c>
      <c r="M54" t="s">
        <v>76</v>
      </c>
      <c r="N54" t="s">
        <v>23</v>
      </c>
      <c r="O54" t="s">
        <v>24</v>
      </c>
      <c r="P54">
        <v>10022</v>
      </c>
      <c r="Q54" t="s">
        <v>25</v>
      </c>
      <c r="R54" t="s">
        <v>26</v>
      </c>
      <c r="S54" t="s">
        <v>29</v>
      </c>
      <c r="T54" t="s">
        <v>77</v>
      </c>
      <c r="U54" t="s">
        <v>28</v>
      </c>
    </row>
    <row r="55" spans="1:21" x14ac:dyDescent="0.3">
      <c r="A55">
        <v>10204</v>
      </c>
      <c r="B55">
        <v>33</v>
      </c>
      <c r="C55">
        <v>100</v>
      </c>
      <c r="D55">
        <v>4</v>
      </c>
      <c r="E55">
        <v>5890.5</v>
      </c>
      <c r="F55" s="1">
        <v>37664</v>
      </c>
      <c r="G55" t="s">
        <v>92</v>
      </c>
      <c r="H55">
        <v>170</v>
      </c>
      <c r="I55" t="s">
        <v>97</v>
      </c>
      <c r="J55" t="s">
        <v>74</v>
      </c>
      <c r="K55">
        <v>2125557413</v>
      </c>
      <c r="L55" t="s">
        <v>75</v>
      </c>
      <c r="M55" t="s">
        <v>76</v>
      </c>
      <c r="N55" t="s">
        <v>23</v>
      </c>
      <c r="O55" t="s">
        <v>24</v>
      </c>
      <c r="P55">
        <v>10022</v>
      </c>
      <c r="Q55" t="s">
        <v>25</v>
      </c>
      <c r="R55" t="s">
        <v>26</v>
      </c>
      <c r="S55" t="s">
        <v>29</v>
      </c>
      <c r="T55" t="s">
        <v>77</v>
      </c>
      <c r="U55" t="s">
        <v>28</v>
      </c>
    </row>
    <row r="56" spans="1:21" x14ac:dyDescent="0.3">
      <c r="A56">
        <v>10420</v>
      </c>
      <c r="B56">
        <v>37</v>
      </c>
      <c r="C56">
        <v>100</v>
      </c>
      <c r="D56">
        <v>5</v>
      </c>
      <c r="E56">
        <v>5283.6</v>
      </c>
      <c r="F56" s="1" t="s">
        <v>188</v>
      </c>
      <c r="G56" t="s">
        <v>92</v>
      </c>
      <c r="H56">
        <v>170</v>
      </c>
      <c r="I56" t="s">
        <v>97</v>
      </c>
      <c r="J56" t="s">
        <v>47</v>
      </c>
      <c r="K56" t="s">
        <v>48</v>
      </c>
      <c r="L56" t="s">
        <v>49</v>
      </c>
      <c r="M56" t="s">
        <v>50</v>
      </c>
      <c r="N56" t="s">
        <v>51</v>
      </c>
      <c r="O56" t="s">
        <v>52</v>
      </c>
      <c r="P56">
        <v>2067</v>
      </c>
      <c r="Q56" t="s">
        <v>36</v>
      </c>
      <c r="R56" t="s">
        <v>37</v>
      </c>
      <c r="S56" t="s">
        <v>53</v>
      </c>
      <c r="T56" t="s">
        <v>54</v>
      </c>
      <c r="U56" t="s">
        <v>28</v>
      </c>
    </row>
    <row r="57" spans="1:21" x14ac:dyDescent="0.3">
      <c r="A57">
        <v>10342</v>
      </c>
      <c r="B57">
        <v>55</v>
      </c>
      <c r="C57">
        <v>65.45</v>
      </c>
      <c r="D57">
        <v>1</v>
      </c>
      <c r="E57">
        <v>3599.75</v>
      </c>
      <c r="F57" s="1" t="s">
        <v>185</v>
      </c>
      <c r="G57" t="s">
        <v>55</v>
      </c>
      <c r="H57">
        <v>77</v>
      </c>
      <c r="I57" t="s">
        <v>98</v>
      </c>
      <c r="J57" t="s">
        <v>30</v>
      </c>
      <c r="K57" t="s">
        <v>31</v>
      </c>
      <c r="L57" t="s">
        <v>32</v>
      </c>
      <c r="M57" t="s">
        <v>33</v>
      </c>
      <c r="N57" t="s">
        <v>34</v>
      </c>
      <c r="O57" t="s">
        <v>35</v>
      </c>
      <c r="P57">
        <v>3004</v>
      </c>
      <c r="Q57" t="s">
        <v>36</v>
      </c>
      <c r="R57" t="s">
        <v>37</v>
      </c>
      <c r="S57" t="s">
        <v>38</v>
      </c>
      <c r="T57" t="s">
        <v>39</v>
      </c>
      <c r="U57" t="s">
        <v>28</v>
      </c>
    </row>
    <row r="58" spans="1:21" x14ac:dyDescent="0.3">
      <c r="A58">
        <v>10148</v>
      </c>
      <c r="B58">
        <v>25</v>
      </c>
      <c r="C58">
        <v>100</v>
      </c>
      <c r="D58">
        <v>12</v>
      </c>
      <c r="E58">
        <v>4232</v>
      </c>
      <c r="F58" s="1">
        <v>37934</v>
      </c>
      <c r="G58" t="s">
        <v>55</v>
      </c>
      <c r="H58">
        <v>142</v>
      </c>
      <c r="I58" t="s">
        <v>99</v>
      </c>
      <c r="J58" t="s">
        <v>61</v>
      </c>
      <c r="K58" t="s">
        <v>62</v>
      </c>
      <c r="L58" t="s">
        <v>63</v>
      </c>
      <c r="M58" t="s">
        <v>64</v>
      </c>
      <c r="N58" t="s">
        <v>65</v>
      </c>
      <c r="O58" t="s">
        <v>52</v>
      </c>
      <c r="P58">
        <v>2060</v>
      </c>
      <c r="Q58" t="s">
        <v>36</v>
      </c>
      <c r="R58" t="s">
        <v>37</v>
      </c>
      <c r="S58" t="s">
        <v>66</v>
      </c>
      <c r="T58" t="s">
        <v>67</v>
      </c>
      <c r="U58" t="s">
        <v>28</v>
      </c>
    </row>
    <row r="59" spans="1:21" x14ac:dyDescent="0.3">
      <c r="A59">
        <v>10204</v>
      </c>
      <c r="B59">
        <v>38</v>
      </c>
      <c r="C59">
        <v>100</v>
      </c>
      <c r="D59">
        <v>16</v>
      </c>
      <c r="E59">
        <v>6432.64</v>
      </c>
      <c r="F59" s="1">
        <v>37664</v>
      </c>
      <c r="G59" t="s">
        <v>55</v>
      </c>
      <c r="H59">
        <v>142</v>
      </c>
      <c r="I59" t="s">
        <v>99</v>
      </c>
      <c r="J59" t="s">
        <v>74</v>
      </c>
      <c r="K59">
        <v>2125557413</v>
      </c>
      <c r="L59" t="s">
        <v>75</v>
      </c>
      <c r="M59" t="s">
        <v>76</v>
      </c>
      <c r="N59" t="s">
        <v>23</v>
      </c>
      <c r="O59" t="s">
        <v>24</v>
      </c>
      <c r="P59">
        <v>10022</v>
      </c>
      <c r="Q59" t="s">
        <v>25</v>
      </c>
      <c r="R59" t="s">
        <v>26</v>
      </c>
      <c r="S59" t="s">
        <v>29</v>
      </c>
      <c r="T59" t="s">
        <v>77</v>
      </c>
      <c r="U59" t="s">
        <v>28</v>
      </c>
    </row>
    <row r="60" spans="1:21" x14ac:dyDescent="0.3">
      <c r="A60">
        <v>10342</v>
      </c>
      <c r="B60">
        <v>22</v>
      </c>
      <c r="C60">
        <v>100</v>
      </c>
      <c r="D60">
        <v>3</v>
      </c>
      <c r="E60">
        <v>3160.74</v>
      </c>
      <c r="F60" s="1" t="s">
        <v>185</v>
      </c>
      <c r="G60" t="s">
        <v>55</v>
      </c>
      <c r="H60">
        <v>142</v>
      </c>
      <c r="I60" t="s">
        <v>99</v>
      </c>
      <c r="J60" t="s">
        <v>30</v>
      </c>
      <c r="K60" t="s">
        <v>31</v>
      </c>
      <c r="L60" t="s">
        <v>32</v>
      </c>
      <c r="M60" t="s">
        <v>33</v>
      </c>
      <c r="N60" t="s">
        <v>34</v>
      </c>
      <c r="O60" t="s">
        <v>35</v>
      </c>
      <c r="P60">
        <v>3004</v>
      </c>
      <c r="Q60" t="s">
        <v>36</v>
      </c>
      <c r="R60" t="s">
        <v>37</v>
      </c>
      <c r="S60" t="s">
        <v>38</v>
      </c>
      <c r="T60" t="s">
        <v>39</v>
      </c>
      <c r="U60" t="s">
        <v>28</v>
      </c>
    </row>
    <row r="61" spans="1:21" x14ac:dyDescent="0.3">
      <c r="A61">
        <v>10115</v>
      </c>
      <c r="B61">
        <v>46</v>
      </c>
      <c r="C61">
        <v>100</v>
      </c>
      <c r="D61">
        <v>4</v>
      </c>
      <c r="E61">
        <v>7381.16</v>
      </c>
      <c r="F61" s="1">
        <v>37715</v>
      </c>
      <c r="G61" t="s">
        <v>55</v>
      </c>
      <c r="H61">
        <v>163</v>
      </c>
      <c r="I61" t="s">
        <v>100</v>
      </c>
      <c r="J61" t="s">
        <v>57</v>
      </c>
      <c r="K61">
        <v>2125558493</v>
      </c>
      <c r="L61" t="s">
        <v>58</v>
      </c>
      <c r="M61" t="s">
        <v>59</v>
      </c>
      <c r="N61" t="s">
        <v>23</v>
      </c>
      <c r="O61" t="s">
        <v>24</v>
      </c>
      <c r="P61">
        <v>10022</v>
      </c>
      <c r="Q61" t="s">
        <v>25</v>
      </c>
      <c r="R61" t="s">
        <v>26</v>
      </c>
      <c r="S61" t="s">
        <v>45</v>
      </c>
      <c r="T61" t="s">
        <v>60</v>
      </c>
      <c r="U61" t="s">
        <v>46</v>
      </c>
    </row>
    <row r="62" spans="1:21" x14ac:dyDescent="0.3">
      <c r="A62">
        <v>10127</v>
      </c>
      <c r="B62">
        <v>45</v>
      </c>
      <c r="C62">
        <v>100</v>
      </c>
      <c r="D62">
        <v>10</v>
      </c>
      <c r="E62">
        <v>7146.9</v>
      </c>
      <c r="F62" s="1">
        <v>37686</v>
      </c>
      <c r="G62" t="s">
        <v>55</v>
      </c>
      <c r="H62">
        <v>163</v>
      </c>
      <c r="I62" t="s">
        <v>100</v>
      </c>
      <c r="J62" t="s">
        <v>74</v>
      </c>
      <c r="K62">
        <v>2125557413</v>
      </c>
      <c r="L62" t="s">
        <v>75</v>
      </c>
      <c r="M62" t="s">
        <v>76</v>
      </c>
      <c r="N62" t="s">
        <v>23</v>
      </c>
      <c r="O62" t="s">
        <v>24</v>
      </c>
      <c r="P62">
        <v>10022</v>
      </c>
      <c r="Q62" t="s">
        <v>25</v>
      </c>
      <c r="R62" t="s">
        <v>26</v>
      </c>
      <c r="S62" t="s">
        <v>29</v>
      </c>
      <c r="T62" t="s">
        <v>77</v>
      </c>
      <c r="U62" t="s">
        <v>46</v>
      </c>
    </row>
    <row r="63" spans="1:21" x14ac:dyDescent="0.3">
      <c r="A63">
        <v>10324</v>
      </c>
      <c r="B63">
        <v>47</v>
      </c>
      <c r="C63">
        <v>100</v>
      </c>
      <c r="D63">
        <v>8</v>
      </c>
      <c r="E63">
        <v>7207.45</v>
      </c>
      <c r="F63" s="1">
        <v>38118</v>
      </c>
      <c r="G63" t="s">
        <v>55</v>
      </c>
      <c r="H63">
        <v>163</v>
      </c>
      <c r="I63" t="s">
        <v>100</v>
      </c>
      <c r="J63" t="s">
        <v>40</v>
      </c>
      <c r="K63">
        <v>2125551500</v>
      </c>
      <c r="L63" t="s">
        <v>41</v>
      </c>
      <c r="M63" t="s">
        <v>42</v>
      </c>
      <c r="N63" t="s">
        <v>23</v>
      </c>
      <c r="O63" t="s">
        <v>24</v>
      </c>
      <c r="P63">
        <v>10022</v>
      </c>
      <c r="Q63" t="s">
        <v>25</v>
      </c>
      <c r="R63" t="s">
        <v>26</v>
      </c>
      <c r="S63" t="s">
        <v>43</v>
      </c>
      <c r="T63" t="s">
        <v>44</v>
      </c>
      <c r="U63" t="s">
        <v>46</v>
      </c>
    </row>
    <row r="64" spans="1:21" x14ac:dyDescent="0.3">
      <c r="A64">
        <v>10349</v>
      </c>
      <c r="B64">
        <v>38</v>
      </c>
      <c r="C64">
        <v>100</v>
      </c>
      <c r="D64">
        <v>8</v>
      </c>
      <c r="E64">
        <v>6719.54</v>
      </c>
      <c r="F64" s="1">
        <v>37998</v>
      </c>
      <c r="G64" t="s">
        <v>55</v>
      </c>
      <c r="H64">
        <v>163</v>
      </c>
      <c r="I64" t="s">
        <v>100</v>
      </c>
      <c r="J64" t="s">
        <v>74</v>
      </c>
      <c r="K64">
        <v>2125557413</v>
      </c>
      <c r="L64" t="s">
        <v>75</v>
      </c>
      <c r="M64" t="s">
        <v>76</v>
      </c>
      <c r="N64" t="s">
        <v>23</v>
      </c>
      <c r="O64" t="s">
        <v>24</v>
      </c>
      <c r="P64">
        <v>10022</v>
      </c>
      <c r="Q64" t="s">
        <v>25</v>
      </c>
      <c r="R64" t="s">
        <v>26</v>
      </c>
      <c r="S64" t="s">
        <v>29</v>
      </c>
      <c r="T64" t="s">
        <v>77</v>
      </c>
      <c r="U64" t="s">
        <v>28</v>
      </c>
    </row>
    <row r="65" spans="1:21" x14ac:dyDescent="0.3">
      <c r="A65">
        <v>10204</v>
      </c>
      <c r="B65">
        <v>23</v>
      </c>
      <c r="C65">
        <v>71.44</v>
      </c>
      <c r="D65">
        <v>3</v>
      </c>
      <c r="E65">
        <v>1643.12</v>
      </c>
      <c r="F65" s="1">
        <v>37664</v>
      </c>
      <c r="G65" t="s">
        <v>92</v>
      </c>
      <c r="H65">
        <v>60</v>
      </c>
      <c r="I65" t="s">
        <v>101</v>
      </c>
      <c r="J65" t="s">
        <v>74</v>
      </c>
      <c r="K65">
        <v>2125557413</v>
      </c>
      <c r="L65" t="s">
        <v>75</v>
      </c>
      <c r="M65" t="s">
        <v>76</v>
      </c>
      <c r="N65" t="s">
        <v>23</v>
      </c>
      <c r="O65" t="s">
        <v>24</v>
      </c>
      <c r="P65">
        <v>10022</v>
      </c>
      <c r="Q65" t="s">
        <v>25</v>
      </c>
      <c r="R65" t="s">
        <v>26</v>
      </c>
      <c r="S65" t="s">
        <v>29</v>
      </c>
      <c r="T65" t="s">
        <v>77</v>
      </c>
      <c r="U65" t="s">
        <v>27</v>
      </c>
    </row>
    <row r="66" spans="1:21" x14ac:dyDescent="0.3">
      <c r="A66">
        <v>10420</v>
      </c>
      <c r="B66">
        <v>36</v>
      </c>
      <c r="C66">
        <v>63.57</v>
      </c>
      <c r="D66">
        <v>4</v>
      </c>
      <c r="E66">
        <v>2288.52</v>
      </c>
      <c r="F66" s="1" t="s">
        <v>188</v>
      </c>
      <c r="G66" t="s">
        <v>92</v>
      </c>
      <c r="H66">
        <v>60</v>
      </c>
      <c r="I66" t="s">
        <v>101</v>
      </c>
      <c r="J66" t="s">
        <v>47</v>
      </c>
      <c r="K66" t="s">
        <v>48</v>
      </c>
      <c r="L66" t="s">
        <v>49</v>
      </c>
      <c r="M66" t="s">
        <v>50</v>
      </c>
      <c r="N66" t="s">
        <v>51</v>
      </c>
      <c r="O66" t="s">
        <v>52</v>
      </c>
      <c r="P66">
        <v>2067</v>
      </c>
      <c r="Q66" t="s">
        <v>36</v>
      </c>
      <c r="R66" t="s">
        <v>37</v>
      </c>
      <c r="S66" t="s">
        <v>53</v>
      </c>
      <c r="T66" t="s">
        <v>54</v>
      </c>
      <c r="U66" t="s">
        <v>27</v>
      </c>
    </row>
    <row r="67" spans="1:21" x14ac:dyDescent="0.3">
      <c r="A67">
        <v>10127</v>
      </c>
      <c r="B67">
        <v>45</v>
      </c>
      <c r="C67">
        <v>100</v>
      </c>
      <c r="D67">
        <v>14</v>
      </c>
      <c r="E67">
        <v>6295.95</v>
      </c>
      <c r="F67" s="1">
        <v>37686</v>
      </c>
      <c r="G67" t="s">
        <v>78</v>
      </c>
      <c r="H67">
        <v>122</v>
      </c>
      <c r="I67" t="s">
        <v>102</v>
      </c>
      <c r="J67" t="s">
        <v>74</v>
      </c>
      <c r="K67">
        <v>2125557413</v>
      </c>
      <c r="L67" t="s">
        <v>75</v>
      </c>
      <c r="M67" t="s">
        <v>76</v>
      </c>
      <c r="N67" t="s">
        <v>23</v>
      </c>
      <c r="O67" t="s">
        <v>24</v>
      </c>
      <c r="P67">
        <v>10022</v>
      </c>
      <c r="Q67" t="s">
        <v>25</v>
      </c>
      <c r="R67" t="s">
        <v>26</v>
      </c>
      <c r="S67" t="s">
        <v>29</v>
      </c>
      <c r="T67" t="s">
        <v>77</v>
      </c>
      <c r="U67" t="s">
        <v>28</v>
      </c>
    </row>
    <row r="68" spans="1:21" x14ac:dyDescent="0.3">
      <c r="A68">
        <v>10324</v>
      </c>
      <c r="B68">
        <v>33</v>
      </c>
      <c r="C68">
        <v>37.479999999999997</v>
      </c>
      <c r="D68">
        <v>10</v>
      </c>
      <c r="E68">
        <v>1236.8399999999999</v>
      </c>
      <c r="F68" s="1">
        <v>38118</v>
      </c>
      <c r="G68" t="s">
        <v>78</v>
      </c>
      <c r="H68">
        <v>122</v>
      </c>
      <c r="I68" t="s">
        <v>102</v>
      </c>
      <c r="J68" t="s">
        <v>40</v>
      </c>
      <c r="K68">
        <v>2125551500</v>
      </c>
      <c r="L68" t="s">
        <v>41</v>
      </c>
      <c r="M68" t="s">
        <v>42</v>
      </c>
      <c r="N68" t="s">
        <v>23</v>
      </c>
      <c r="O68" t="s">
        <v>24</v>
      </c>
      <c r="P68">
        <v>10022</v>
      </c>
      <c r="Q68" t="s">
        <v>25</v>
      </c>
      <c r="R68" t="s">
        <v>26</v>
      </c>
      <c r="S68" t="s">
        <v>43</v>
      </c>
      <c r="T68" t="s">
        <v>44</v>
      </c>
      <c r="U68" t="s">
        <v>27</v>
      </c>
    </row>
    <row r="69" spans="1:21" x14ac:dyDescent="0.3">
      <c r="A69">
        <v>10349</v>
      </c>
      <c r="B69">
        <v>38</v>
      </c>
      <c r="C69">
        <v>100</v>
      </c>
      <c r="D69">
        <v>7</v>
      </c>
      <c r="E69">
        <v>5223.4799999999996</v>
      </c>
      <c r="F69" s="1">
        <v>37998</v>
      </c>
      <c r="G69" t="s">
        <v>78</v>
      </c>
      <c r="H69">
        <v>122</v>
      </c>
      <c r="I69" t="s">
        <v>102</v>
      </c>
      <c r="J69" t="s">
        <v>74</v>
      </c>
      <c r="K69">
        <v>2125557413</v>
      </c>
      <c r="L69" t="s">
        <v>75</v>
      </c>
      <c r="M69" t="s">
        <v>76</v>
      </c>
      <c r="N69" t="s">
        <v>23</v>
      </c>
      <c r="O69" t="s">
        <v>24</v>
      </c>
      <c r="P69">
        <v>10022</v>
      </c>
      <c r="Q69" t="s">
        <v>25</v>
      </c>
      <c r="R69" t="s">
        <v>26</v>
      </c>
      <c r="S69" t="s">
        <v>29</v>
      </c>
      <c r="T69" t="s">
        <v>77</v>
      </c>
      <c r="U69" t="s">
        <v>28</v>
      </c>
    </row>
    <row r="70" spans="1:21" x14ac:dyDescent="0.3">
      <c r="A70">
        <v>10370</v>
      </c>
      <c r="B70">
        <v>22</v>
      </c>
      <c r="C70">
        <v>100</v>
      </c>
      <c r="D70">
        <v>5</v>
      </c>
      <c r="E70">
        <v>3949</v>
      </c>
      <c r="F70" s="1" t="s">
        <v>184</v>
      </c>
      <c r="G70" t="s">
        <v>78</v>
      </c>
      <c r="H70">
        <v>122</v>
      </c>
      <c r="I70" t="s">
        <v>102</v>
      </c>
      <c r="J70" t="s">
        <v>61</v>
      </c>
      <c r="K70" t="s">
        <v>62</v>
      </c>
      <c r="L70" t="s">
        <v>63</v>
      </c>
      <c r="M70" t="s">
        <v>64</v>
      </c>
      <c r="N70" t="s">
        <v>65</v>
      </c>
      <c r="O70" t="s">
        <v>52</v>
      </c>
      <c r="P70">
        <v>2060</v>
      </c>
      <c r="Q70" t="s">
        <v>36</v>
      </c>
      <c r="R70" t="s">
        <v>37</v>
      </c>
      <c r="S70" t="s">
        <v>66</v>
      </c>
      <c r="T70" t="s">
        <v>67</v>
      </c>
      <c r="U70" t="s">
        <v>28</v>
      </c>
    </row>
    <row r="71" spans="1:21" x14ac:dyDescent="0.3">
      <c r="A71">
        <v>10204</v>
      </c>
      <c r="B71">
        <v>26</v>
      </c>
      <c r="C71">
        <v>100</v>
      </c>
      <c r="D71">
        <v>1</v>
      </c>
      <c r="E71">
        <v>3206.32</v>
      </c>
      <c r="F71" s="1">
        <v>37664</v>
      </c>
      <c r="G71" t="s">
        <v>92</v>
      </c>
      <c r="H71">
        <v>127</v>
      </c>
      <c r="I71" t="s">
        <v>103</v>
      </c>
      <c r="J71" t="s">
        <v>74</v>
      </c>
      <c r="K71">
        <v>2125557413</v>
      </c>
      <c r="L71" t="s">
        <v>75</v>
      </c>
      <c r="M71" t="s">
        <v>76</v>
      </c>
      <c r="N71" t="s">
        <v>23</v>
      </c>
      <c r="O71" t="s">
        <v>24</v>
      </c>
      <c r="P71">
        <v>10022</v>
      </c>
      <c r="Q71" t="s">
        <v>25</v>
      </c>
      <c r="R71" t="s">
        <v>26</v>
      </c>
      <c r="S71" t="s">
        <v>29</v>
      </c>
      <c r="T71" t="s">
        <v>77</v>
      </c>
      <c r="U71" t="s">
        <v>28</v>
      </c>
    </row>
    <row r="72" spans="1:21" x14ac:dyDescent="0.3">
      <c r="A72">
        <v>10420</v>
      </c>
      <c r="B72">
        <v>45</v>
      </c>
      <c r="C72">
        <v>100</v>
      </c>
      <c r="D72">
        <v>2</v>
      </c>
      <c r="E72">
        <v>4977</v>
      </c>
      <c r="F72" s="1" t="s">
        <v>188</v>
      </c>
      <c r="G72" t="s">
        <v>92</v>
      </c>
      <c r="H72">
        <v>127</v>
      </c>
      <c r="I72" t="s">
        <v>103</v>
      </c>
      <c r="J72" t="s">
        <v>47</v>
      </c>
      <c r="K72" t="s">
        <v>48</v>
      </c>
      <c r="L72" t="s">
        <v>49</v>
      </c>
      <c r="M72" t="s">
        <v>50</v>
      </c>
      <c r="N72" t="s">
        <v>51</v>
      </c>
      <c r="O72" t="s">
        <v>52</v>
      </c>
      <c r="P72">
        <v>2067</v>
      </c>
      <c r="Q72" t="s">
        <v>36</v>
      </c>
      <c r="R72" t="s">
        <v>37</v>
      </c>
      <c r="S72" t="s">
        <v>53</v>
      </c>
      <c r="T72" t="s">
        <v>54</v>
      </c>
      <c r="U72" t="s">
        <v>28</v>
      </c>
    </row>
    <row r="73" spans="1:21" x14ac:dyDescent="0.3">
      <c r="A73">
        <v>10347</v>
      </c>
      <c r="B73">
        <v>50</v>
      </c>
      <c r="C73">
        <v>100</v>
      </c>
      <c r="D73">
        <v>8</v>
      </c>
      <c r="E73">
        <v>6834.5</v>
      </c>
      <c r="F73" s="1" t="s">
        <v>181</v>
      </c>
      <c r="G73" t="s">
        <v>78</v>
      </c>
      <c r="H73">
        <v>60</v>
      </c>
      <c r="I73" t="s">
        <v>104</v>
      </c>
      <c r="J73" t="s">
        <v>30</v>
      </c>
      <c r="K73" t="s">
        <v>31</v>
      </c>
      <c r="L73" t="s">
        <v>32</v>
      </c>
      <c r="M73" t="s">
        <v>33</v>
      </c>
      <c r="N73" t="s">
        <v>34</v>
      </c>
      <c r="O73" t="s">
        <v>35</v>
      </c>
      <c r="P73">
        <v>3004</v>
      </c>
      <c r="Q73" t="s">
        <v>36</v>
      </c>
      <c r="R73" t="s">
        <v>37</v>
      </c>
      <c r="S73" t="s">
        <v>38</v>
      </c>
      <c r="T73" t="s">
        <v>39</v>
      </c>
      <c r="U73" t="s">
        <v>28</v>
      </c>
    </row>
    <row r="74" spans="1:21" x14ac:dyDescent="0.3">
      <c r="A74">
        <v>10370</v>
      </c>
      <c r="B74">
        <v>22</v>
      </c>
      <c r="C74">
        <v>96.86</v>
      </c>
      <c r="D74">
        <v>7</v>
      </c>
      <c r="E74">
        <v>2130.92</v>
      </c>
      <c r="F74" s="1" t="s">
        <v>184</v>
      </c>
      <c r="G74" t="s">
        <v>78</v>
      </c>
      <c r="H74">
        <v>60</v>
      </c>
      <c r="I74" t="s">
        <v>104</v>
      </c>
      <c r="J74" t="s">
        <v>61</v>
      </c>
      <c r="K74" t="s">
        <v>62</v>
      </c>
      <c r="L74" t="s">
        <v>63</v>
      </c>
      <c r="M74" t="s">
        <v>64</v>
      </c>
      <c r="N74" t="s">
        <v>65</v>
      </c>
      <c r="O74" t="s">
        <v>52</v>
      </c>
      <c r="P74">
        <v>2060</v>
      </c>
      <c r="Q74" t="s">
        <v>36</v>
      </c>
      <c r="R74" t="s">
        <v>37</v>
      </c>
      <c r="S74" t="s">
        <v>66</v>
      </c>
      <c r="T74" t="s">
        <v>67</v>
      </c>
      <c r="U74" t="s">
        <v>27</v>
      </c>
    </row>
    <row r="75" spans="1:21" x14ac:dyDescent="0.3">
      <c r="A75">
        <v>10391</v>
      </c>
      <c r="B75">
        <v>44</v>
      </c>
      <c r="C75">
        <v>38.5</v>
      </c>
      <c r="D75">
        <v>5</v>
      </c>
      <c r="E75">
        <v>1694</v>
      </c>
      <c r="F75" s="1">
        <v>38598</v>
      </c>
      <c r="G75" t="s">
        <v>78</v>
      </c>
      <c r="H75">
        <v>60</v>
      </c>
      <c r="I75" t="s">
        <v>104</v>
      </c>
      <c r="J75" t="s">
        <v>61</v>
      </c>
      <c r="K75" t="s">
        <v>62</v>
      </c>
      <c r="L75" t="s">
        <v>63</v>
      </c>
      <c r="M75" t="s">
        <v>64</v>
      </c>
      <c r="N75" t="s">
        <v>65</v>
      </c>
      <c r="O75" t="s">
        <v>52</v>
      </c>
      <c r="P75">
        <v>2060</v>
      </c>
      <c r="Q75" t="s">
        <v>36</v>
      </c>
      <c r="R75" t="s">
        <v>37</v>
      </c>
      <c r="S75" t="s">
        <v>66</v>
      </c>
      <c r="T75" t="s">
        <v>67</v>
      </c>
      <c r="U75" t="s">
        <v>27</v>
      </c>
    </row>
    <row r="76" spans="1:21" x14ac:dyDescent="0.3">
      <c r="A76">
        <v>10120</v>
      </c>
      <c r="B76">
        <v>29</v>
      </c>
      <c r="C76">
        <v>71.81</v>
      </c>
      <c r="D76">
        <v>8</v>
      </c>
      <c r="E76">
        <v>2082.4899999999998</v>
      </c>
      <c r="F76" s="1" t="s">
        <v>182</v>
      </c>
      <c r="G76" t="s">
        <v>96</v>
      </c>
      <c r="H76">
        <v>84</v>
      </c>
      <c r="I76" t="s">
        <v>105</v>
      </c>
      <c r="J76" t="s">
        <v>30</v>
      </c>
      <c r="K76" t="s">
        <v>31</v>
      </c>
      <c r="L76" t="s">
        <v>32</v>
      </c>
      <c r="M76" t="s">
        <v>33</v>
      </c>
      <c r="N76" t="s">
        <v>34</v>
      </c>
      <c r="O76" t="s">
        <v>35</v>
      </c>
      <c r="P76">
        <v>3004</v>
      </c>
      <c r="Q76" t="s">
        <v>36</v>
      </c>
      <c r="R76" t="s">
        <v>37</v>
      </c>
      <c r="S76" t="s">
        <v>38</v>
      </c>
      <c r="T76" t="s">
        <v>39</v>
      </c>
      <c r="U76" t="s">
        <v>27</v>
      </c>
    </row>
    <row r="77" spans="1:21" x14ac:dyDescent="0.3">
      <c r="A77">
        <v>10223</v>
      </c>
      <c r="B77">
        <v>47</v>
      </c>
      <c r="C77">
        <v>100</v>
      </c>
      <c r="D77">
        <v>9</v>
      </c>
      <c r="E77">
        <v>4724.91</v>
      </c>
      <c r="F77" s="1" t="s">
        <v>177</v>
      </c>
      <c r="G77" t="s">
        <v>96</v>
      </c>
      <c r="H77">
        <v>84</v>
      </c>
      <c r="I77" t="s">
        <v>105</v>
      </c>
      <c r="J77" t="s">
        <v>30</v>
      </c>
      <c r="K77" t="s">
        <v>31</v>
      </c>
      <c r="L77" t="s">
        <v>32</v>
      </c>
      <c r="M77" t="s">
        <v>33</v>
      </c>
      <c r="N77" t="s">
        <v>34</v>
      </c>
      <c r="O77" t="s">
        <v>35</v>
      </c>
      <c r="P77">
        <v>3004</v>
      </c>
      <c r="Q77" t="s">
        <v>36</v>
      </c>
      <c r="R77" t="s">
        <v>37</v>
      </c>
      <c r="S77" t="s">
        <v>38</v>
      </c>
      <c r="T77" t="s">
        <v>39</v>
      </c>
      <c r="U77" t="s">
        <v>28</v>
      </c>
    </row>
    <row r="78" spans="1:21" x14ac:dyDescent="0.3">
      <c r="A78">
        <v>10120</v>
      </c>
      <c r="B78">
        <v>46</v>
      </c>
      <c r="C78">
        <v>58.15</v>
      </c>
      <c r="D78">
        <v>4</v>
      </c>
      <c r="E78">
        <v>2674.9</v>
      </c>
      <c r="F78" s="1" t="s">
        <v>182</v>
      </c>
      <c r="G78" t="s">
        <v>21</v>
      </c>
      <c r="H78">
        <v>60</v>
      </c>
      <c r="I78" t="s">
        <v>106</v>
      </c>
      <c r="J78" t="s">
        <v>30</v>
      </c>
      <c r="K78" t="s">
        <v>31</v>
      </c>
      <c r="L78" t="s">
        <v>32</v>
      </c>
      <c r="M78" t="s">
        <v>33</v>
      </c>
      <c r="N78" t="s">
        <v>34</v>
      </c>
      <c r="O78" t="s">
        <v>35</v>
      </c>
      <c r="P78">
        <v>3004</v>
      </c>
      <c r="Q78" t="s">
        <v>36</v>
      </c>
      <c r="R78" t="s">
        <v>37</v>
      </c>
      <c r="S78" t="s">
        <v>38</v>
      </c>
      <c r="T78" t="s">
        <v>39</v>
      </c>
      <c r="U78" t="s">
        <v>27</v>
      </c>
    </row>
    <row r="79" spans="1:21" x14ac:dyDescent="0.3">
      <c r="A79">
        <v>10223</v>
      </c>
      <c r="B79">
        <v>28</v>
      </c>
      <c r="C79">
        <v>60.57</v>
      </c>
      <c r="D79">
        <v>5</v>
      </c>
      <c r="E79">
        <v>1695.96</v>
      </c>
      <c r="F79" s="1" t="s">
        <v>177</v>
      </c>
      <c r="G79" t="s">
        <v>21</v>
      </c>
      <c r="H79">
        <v>60</v>
      </c>
      <c r="I79" t="s">
        <v>106</v>
      </c>
      <c r="J79" t="s">
        <v>30</v>
      </c>
      <c r="K79" t="s">
        <v>31</v>
      </c>
      <c r="L79" t="s">
        <v>32</v>
      </c>
      <c r="M79" t="s">
        <v>33</v>
      </c>
      <c r="N79" t="s">
        <v>34</v>
      </c>
      <c r="O79" t="s">
        <v>35</v>
      </c>
      <c r="P79">
        <v>3004</v>
      </c>
      <c r="Q79" t="s">
        <v>36</v>
      </c>
      <c r="R79" t="s">
        <v>37</v>
      </c>
      <c r="S79" t="s">
        <v>38</v>
      </c>
      <c r="T79" t="s">
        <v>39</v>
      </c>
      <c r="U79" t="s">
        <v>27</v>
      </c>
    </row>
    <row r="80" spans="1:21" x14ac:dyDescent="0.3">
      <c r="A80">
        <v>10125</v>
      </c>
      <c r="B80">
        <v>34</v>
      </c>
      <c r="C80">
        <v>100</v>
      </c>
      <c r="D80">
        <v>2</v>
      </c>
      <c r="E80">
        <v>6483.46</v>
      </c>
      <c r="F80" s="1" t="s">
        <v>186</v>
      </c>
      <c r="G80" t="s">
        <v>92</v>
      </c>
      <c r="H80">
        <v>168</v>
      </c>
      <c r="I80" t="s">
        <v>107</v>
      </c>
      <c r="J80" t="s">
        <v>30</v>
      </c>
      <c r="K80" t="s">
        <v>31</v>
      </c>
      <c r="L80" t="s">
        <v>32</v>
      </c>
      <c r="M80" t="s">
        <v>33</v>
      </c>
      <c r="N80" t="s">
        <v>34</v>
      </c>
      <c r="O80" t="s">
        <v>35</v>
      </c>
      <c r="P80">
        <v>3004</v>
      </c>
      <c r="Q80" t="s">
        <v>36</v>
      </c>
      <c r="R80" t="s">
        <v>37</v>
      </c>
      <c r="S80" t="s">
        <v>38</v>
      </c>
      <c r="T80" t="s">
        <v>39</v>
      </c>
      <c r="U80" t="s">
        <v>28</v>
      </c>
    </row>
    <row r="81" spans="1:21" x14ac:dyDescent="0.3">
      <c r="A81">
        <v>10139</v>
      </c>
      <c r="B81">
        <v>41</v>
      </c>
      <c r="C81">
        <v>100</v>
      </c>
      <c r="D81">
        <v>8</v>
      </c>
      <c r="E81">
        <v>7956.46</v>
      </c>
      <c r="F81" s="1" t="s">
        <v>187</v>
      </c>
      <c r="G81" t="s">
        <v>92</v>
      </c>
      <c r="H81">
        <v>168</v>
      </c>
      <c r="I81" t="s">
        <v>107</v>
      </c>
      <c r="J81" t="s">
        <v>47</v>
      </c>
      <c r="K81" t="s">
        <v>48</v>
      </c>
      <c r="L81" t="s">
        <v>49</v>
      </c>
      <c r="M81" t="s">
        <v>50</v>
      </c>
      <c r="N81" t="s">
        <v>51</v>
      </c>
      <c r="O81" t="s">
        <v>52</v>
      </c>
      <c r="P81">
        <v>2067</v>
      </c>
      <c r="Q81" t="s">
        <v>36</v>
      </c>
      <c r="R81" t="s">
        <v>37</v>
      </c>
      <c r="S81" t="s">
        <v>53</v>
      </c>
      <c r="T81" t="s">
        <v>54</v>
      </c>
      <c r="U81" t="s">
        <v>46</v>
      </c>
    </row>
    <row r="82" spans="1:21" x14ac:dyDescent="0.3">
      <c r="A82">
        <v>10347</v>
      </c>
      <c r="B82">
        <v>21</v>
      </c>
      <c r="C82">
        <v>100</v>
      </c>
      <c r="D82">
        <v>6</v>
      </c>
      <c r="E82">
        <v>4815.3</v>
      </c>
      <c r="F82" s="1" t="s">
        <v>181</v>
      </c>
      <c r="G82" t="s">
        <v>92</v>
      </c>
      <c r="H82">
        <v>168</v>
      </c>
      <c r="I82" t="s">
        <v>107</v>
      </c>
      <c r="J82" t="s">
        <v>30</v>
      </c>
      <c r="K82" t="s">
        <v>31</v>
      </c>
      <c r="L82" t="s">
        <v>32</v>
      </c>
      <c r="M82" t="s">
        <v>33</v>
      </c>
      <c r="N82" t="s">
        <v>34</v>
      </c>
      <c r="O82" t="s">
        <v>35</v>
      </c>
      <c r="P82">
        <v>3004</v>
      </c>
      <c r="Q82" t="s">
        <v>36</v>
      </c>
      <c r="R82" t="s">
        <v>37</v>
      </c>
      <c r="S82" t="s">
        <v>38</v>
      </c>
      <c r="T82" t="s">
        <v>39</v>
      </c>
      <c r="U82" t="s">
        <v>28</v>
      </c>
    </row>
    <row r="83" spans="1:21" x14ac:dyDescent="0.3">
      <c r="A83">
        <v>10148</v>
      </c>
      <c r="B83">
        <v>27</v>
      </c>
      <c r="C83">
        <v>100</v>
      </c>
      <c r="D83">
        <v>10</v>
      </c>
      <c r="E83">
        <v>3528.36</v>
      </c>
      <c r="F83" s="1">
        <v>37934</v>
      </c>
      <c r="G83" t="s">
        <v>55</v>
      </c>
      <c r="H83">
        <v>132</v>
      </c>
      <c r="I83" t="s">
        <v>108</v>
      </c>
      <c r="J83" t="s">
        <v>61</v>
      </c>
      <c r="K83" t="s">
        <v>62</v>
      </c>
      <c r="L83" t="s">
        <v>63</v>
      </c>
      <c r="M83" t="s">
        <v>64</v>
      </c>
      <c r="N83" t="s">
        <v>65</v>
      </c>
      <c r="O83" t="s">
        <v>52</v>
      </c>
      <c r="P83">
        <v>2060</v>
      </c>
      <c r="Q83" t="s">
        <v>36</v>
      </c>
      <c r="R83" t="s">
        <v>37</v>
      </c>
      <c r="S83" t="s">
        <v>66</v>
      </c>
      <c r="T83" t="s">
        <v>67</v>
      </c>
      <c r="U83" t="s">
        <v>28</v>
      </c>
    </row>
    <row r="84" spans="1:21" x14ac:dyDescent="0.3">
      <c r="A84">
        <v>10204</v>
      </c>
      <c r="B84">
        <v>27</v>
      </c>
      <c r="C84">
        <v>100</v>
      </c>
      <c r="D84">
        <v>14</v>
      </c>
      <c r="E84">
        <v>4169.88</v>
      </c>
      <c r="F84" s="1">
        <v>37664</v>
      </c>
      <c r="G84" t="s">
        <v>55</v>
      </c>
      <c r="H84">
        <v>132</v>
      </c>
      <c r="I84" t="s">
        <v>108</v>
      </c>
      <c r="J84" t="s">
        <v>74</v>
      </c>
      <c r="K84">
        <v>2125557413</v>
      </c>
      <c r="L84" t="s">
        <v>75</v>
      </c>
      <c r="M84" t="s">
        <v>76</v>
      </c>
      <c r="N84" t="s">
        <v>23</v>
      </c>
      <c r="O84" t="s">
        <v>24</v>
      </c>
      <c r="P84">
        <v>10022</v>
      </c>
      <c r="Q84" t="s">
        <v>25</v>
      </c>
      <c r="R84" t="s">
        <v>26</v>
      </c>
      <c r="S84" t="s">
        <v>29</v>
      </c>
      <c r="T84" t="s">
        <v>77</v>
      </c>
      <c r="U84" t="s">
        <v>28</v>
      </c>
    </row>
    <row r="85" spans="1:21" x14ac:dyDescent="0.3">
      <c r="A85">
        <v>10139</v>
      </c>
      <c r="B85">
        <v>46</v>
      </c>
      <c r="C85">
        <v>100</v>
      </c>
      <c r="D85">
        <v>1</v>
      </c>
      <c r="E85">
        <v>5545.76</v>
      </c>
      <c r="F85" s="1" t="s">
        <v>187</v>
      </c>
      <c r="G85" t="s">
        <v>92</v>
      </c>
      <c r="H85">
        <v>101</v>
      </c>
      <c r="I85" t="s">
        <v>109</v>
      </c>
      <c r="J85" t="s">
        <v>47</v>
      </c>
      <c r="K85" t="s">
        <v>48</v>
      </c>
      <c r="L85" t="s">
        <v>49</v>
      </c>
      <c r="M85" t="s">
        <v>50</v>
      </c>
      <c r="N85" t="s">
        <v>51</v>
      </c>
      <c r="O85" t="s">
        <v>52</v>
      </c>
      <c r="P85">
        <v>2067</v>
      </c>
      <c r="Q85" t="s">
        <v>36</v>
      </c>
      <c r="R85" t="s">
        <v>37</v>
      </c>
      <c r="S85" t="s">
        <v>53</v>
      </c>
      <c r="T85" t="s">
        <v>54</v>
      </c>
      <c r="U85" t="s">
        <v>28</v>
      </c>
    </row>
    <row r="86" spans="1:21" x14ac:dyDescent="0.3">
      <c r="A86">
        <v>10163</v>
      </c>
      <c r="B86">
        <v>31</v>
      </c>
      <c r="C86">
        <v>100</v>
      </c>
      <c r="D86">
        <v>2</v>
      </c>
      <c r="E86">
        <v>3329.09</v>
      </c>
      <c r="F86" s="1" t="s">
        <v>179</v>
      </c>
      <c r="G86" t="s">
        <v>92</v>
      </c>
      <c r="H86">
        <v>101</v>
      </c>
      <c r="I86" t="s">
        <v>109</v>
      </c>
      <c r="J86" t="s">
        <v>57</v>
      </c>
      <c r="K86">
        <v>2125558493</v>
      </c>
      <c r="L86" t="s">
        <v>58</v>
      </c>
      <c r="M86" t="s">
        <v>59</v>
      </c>
      <c r="N86" t="s">
        <v>23</v>
      </c>
      <c r="O86" t="s">
        <v>24</v>
      </c>
      <c r="P86">
        <v>10022</v>
      </c>
      <c r="Q86" t="s">
        <v>25</v>
      </c>
      <c r="R86" t="s">
        <v>26</v>
      </c>
      <c r="S86" t="s">
        <v>45</v>
      </c>
      <c r="T86" t="s">
        <v>60</v>
      </c>
      <c r="U86" t="s">
        <v>28</v>
      </c>
    </row>
    <row r="87" spans="1:21" x14ac:dyDescent="0.3">
      <c r="A87">
        <v>10270</v>
      </c>
      <c r="B87">
        <v>31</v>
      </c>
      <c r="C87">
        <v>96.24</v>
      </c>
      <c r="D87">
        <v>10</v>
      </c>
      <c r="E87">
        <v>2983.44</v>
      </c>
      <c r="F87" s="1" t="s">
        <v>180</v>
      </c>
      <c r="G87" t="s">
        <v>92</v>
      </c>
      <c r="H87">
        <v>101</v>
      </c>
      <c r="I87" t="s">
        <v>109</v>
      </c>
      <c r="J87" t="s">
        <v>47</v>
      </c>
      <c r="K87" t="s">
        <v>48</v>
      </c>
      <c r="L87" t="s">
        <v>49</v>
      </c>
      <c r="M87" t="s">
        <v>50</v>
      </c>
      <c r="N87" t="s">
        <v>51</v>
      </c>
      <c r="O87" t="s">
        <v>52</v>
      </c>
      <c r="P87">
        <v>2067</v>
      </c>
      <c r="Q87" t="s">
        <v>36</v>
      </c>
      <c r="R87" t="s">
        <v>37</v>
      </c>
      <c r="S87" t="s">
        <v>53</v>
      </c>
      <c r="T87" t="s">
        <v>54</v>
      </c>
      <c r="U87" t="s">
        <v>27</v>
      </c>
    </row>
    <row r="88" spans="1:21" x14ac:dyDescent="0.3">
      <c r="A88">
        <v>10347</v>
      </c>
      <c r="B88">
        <v>48</v>
      </c>
      <c r="C88">
        <v>100</v>
      </c>
      <c r="D88">
        <v>9</v>
      </c>
      <c r="E88">
        <v>4814.3999999999996</v>
      </c>
      <c r="F88" s="1" t="s">
        <v>181</v>
      </c>
      <c r="G88" t="s">
        <v>92</v>
      </c>
      <c r="H88">
        <v>101</v>
      </c>
      <c r="I88" t="s">
        <v>109</v>
      </c>
      <c r="J88" t="s">
        <v>30</v>
      </c>
      <c r="K88" t="s">
        <v>31</v>
      </c>
      <c r="L88" t="s">
        <v>32</v>
      </c>
      <c r="M88" t="s">
        <v>33</v>
      </c>
      <c r="N88" t="s">
        <v>34</v>
      </c>
      <c r="O88" t="s">
        <v>35</v>
      </c>
      <c r="P88">
        <v>3004</v>
      </c>
      <c r="Q88" t="s">
        <v>36</v>
      </c>
      <c r="R88" t="s">
        <v>37</v>
      </c>
      <c r="S88" t="s">
        <v>38</v>
      </c>
      <c r="T88" t="s">
        <v>39</v>
      </c>
      <c r="U88" t="s">
        <v>28</v>
      </c>
    </row>
    <row r="89" spans="1:21" x14ac:dyDescent="0.3">
      <c r="A89">
        <v>10391</v>
      </c>
      <c r="B89">
        <v>32</v>
      </c>
      <c r="C89">
        <v>45.25</v>
      </c>
      <c r="D89">
        <v>6</v>
      </c>
      <c r="E89">
        <v>1448</v>
      </c>
      <c r="F89" s="1">
        <v>38598</v>
      </c>
      <c r="G89" t="s">
        <v>92</v>
      </c>
      <c r="H89">
        <v>101</v>
      </c>
      <c r="I89" t="s">
        <v>109</v>
      </c>
      <c r="J89" t="s">
        <v>61</v>
      </c>
      <c r="K89" t="s">
        <v>62</v>
      </c>
      <c r="L89" t="s">
        <v>63</v>
      </c>
      <c r="M89" t="s">
        <v>64</v>
      </c>
      <c r="N89" t="s">
        <v>65</v>
      </c>
      <c r="O89" t="s">
        <v>52</v>
      </c>
      <c r="P89">
        <v>2060</v>
      </c>
      <c r="Q89" t="s">
        <v>36</v>
      </c>
      <c r="R89" t="s">
        <v>37</v>
      </c>
      <c r="S89" t="s">
        <v>66</v>
      </c>
      <c r="T89" t="s">
        <v>67</v>
      </c>
      <c r="U89" t="s">
        <v>27</v>
      </c>
    </row>
    <row r="90" spans="1:21" x14ac:dyDescent="0.3">
      <c r="A90">
        <v>10139</v>
      </c>
      <c r="B90">
        <v>20</v>
      </c>
      <c r="C90">
        <v>71.2</v>
      </c>
      <c r="D90">
        <v>3</v>
      </c>
      <c r="E90">
        <v>1424</v>
      </c>
      <c r="F90" s="1" t="s">
        <v>187</v>
      </c>
      <c r="G90" t="s">
        <v>92</v>
      </c>
      <c r="H90">
        <v>62</v>
      </c>
      <c r="I90" t="s">
        <v>110</v>
      </c>
      <c r="J90" t="s">
        <v>47</v>
      </c>
      <c r="K90" t="s">
        <v>48</v>
      </c>
      <c r="L90" t="s">
        <v>49</v>
      </c>
      <c r="M90" t="s">
        <v>50</v>
      </c>
      <c r="N90" t="s">
        <v>51</v>
      </c>
      <c r="O90" t="s">
        <v>52</v>
      </c>
      <c r="P90">
        <v>2067</v>
      </c>
      <c r="Q90" t="s">
        <v>36</v>
      </c>
      <c r="R90" t="s">
        <v>37</v>
      </c>
      <c r="S90" t="s">
        <v>53</v>
      </c>
      <c r="T90" t="s">
        <v>54</v>
      </c>
      <c r="U90" t="s">
        <v>27</v>
      </c>
    </row>
    <row r="91" spans="1:21" x14ac:dyDescent="0.3">
      <c r="A91">
        <v>10163</v>
      </c>
      <c r="B91">
        <v>48</v>
      </c>
      <c r="C91">
        <v>69.959999999999994</v>
      </c>
      <c r="D91">
        <v>4</v>
      </c>
      <c r="E91">
        <v>3358.08</v>
      </c>
      <c r="F91" s="1" t="s">
        <v>179</v>
      </c>
      <c r="G91" t="s">
        <v>92</v>
      </c>
      <c r="H91">
        <v>62</v>
      </c>
      <c r="I91" t="s">
        <v>110</v>
      </c>
      <c r="J91" t="s">
        <v>57</v>
      </c>
      <c r="K91">
        <v>2125558493</v>
      </c>
      <c r="L91" t="s">
        <v>58</v>
      </c>
      <c r="M91" t="s">
        <v>59</v>
      </c>
      <c r="N91" t="s">
        <v>23</v>
      </c>
      <c r="O91" t="s">
        <v>24</v>
      </c>
      <c r="P91">
        <v>10022</v>
      </c>
      <c r="Q91" t="s">
        <v>25</v>
      </c>
      <c r="R91" t="s">
        <v>26</v>
      </c>
      <c r="S91" t="s">
        <v>45</v>
      </c>
      <c r="T91" t="s">
        <v>60</v>
      </c>
      <c r="U91" t="s">
        <v>28</v>
      </c>
    </row>
    <row r="92" spans="1:21" x14ac:dyDescent="0.3">
      <c r="A92">
        <v>10347</v>
      </c>
      <c r="B92">
        <v>34</v>
      </c>
      <c r="C92">
        <v>64.959999999999994</v>
      </c>
      <c r="D92">
        <v>10</v>
      </c>
      <c r="E92">
        <v>2208.64</v>
      </c>
      <c r="F92" s="1" t="s">
        <v>181</v>
      </c>
      <c r="G92" t="s">
        <v>92</v>
      </c>
      <c r="H92">
        <v>62</v>
      </c>
      <c r="I92" t="s">
        <v>110</v>
      </c>
      <c r="J92" t="s">
        <v>30</v>
      </c>
      <c r="K92" t="s">
        <v>31</v>
      </c>
      <c r="L92" t="s">
        <v>32</v>
      </c>
      <c r="M92" t="s">
        <v>33</v>
      </c>
      <c r="N92" t="s">
        <v>34</v>
      </c>
      <c r="O92" t="s">
        <v>35</v>
      </c>
      <c r="P92">
        <v>3004</v>
      </c>
      <c r="Q92" t="s">
        <v>36</v>
      </c>
      <c r="R92" t="s">
        <v>37</v>
      </c>
      <c r="S92" t="s">
        <v>38</v>
      </c>
      <c r="T92" t="s">
        <v>39</v>
      </c>
      <c r="U92" t="s">
        <v>27</v>
      </c>
    </row>
    <row r="93" spans="1:21" x14ac:dyDescent="0.3">
      <c r="A93">
        <v>10139</v>
      </c>
      <c r="B93">
        <v>20</v>
      </c>
      <c r="C93">
        <v>90.06</v>
      </c>
      <c r="D93">
        <v>2</v>
      </c>
      <c r="E93">
        <v>1801.2</v>
      </c>
      <c r="F93" s="1" t="s">
        <v>187</v>
      </c>
      <c r="G93" t="s">
        <v>92</v>
      </c>
      <c r="H93">
        <v>104</v>
      </c>
      <c r="I93" t="s">
        <v>112</v>
      </c>
      <c r="J93" t="s">
        <v>47</v>
      </c>
      <c r="K93" t="s">
        <v>48</v>
      </c>
      <c r="L93" t="s">
        <v>49</v>
      </c>
      <c r="M93" t="s">
        <v>50</v>
      </c>
      <c r="N93" t="s">
        <v>51</v>
      </c>
      <c r="O93" t="s">
        <v>52</v>
      </c>
      <c r="P93">
        <v>2067</v>
      </c>
      <c r="Q93" t="s">
        <v>36</v>
      </c>
      <c r="R93" t="s">
        <v>37</v>
      </c>
      <c r="S93" t="s">
        <v>53</v>
      </c>
      <c r="T93" t="s">
        <v>54</v>
      </c>
      <c r="U93" t="s">
        <v>27</v>
      </c>
    </row>
    <row r="94" spans="1:21" x14ac:dyDescent="0.3">
      <c r="A94">
        <v>10163</v>
      </c>
      <c r="B94">
        <v>40</v>
      </c>
      <c r="C94">
        <v>100</v>
      </c>
      <c r="D94">
        <v>3</v>
      </c>
      <c r="E94">
        <v>4900.8</v>
      </c>
      <c r="F94" s="1" t="s">
        <v>179</v>
      </c>
      <c r="G94" t="s">
        <v>92</v>
      </c>
      <c r="H94">
        <v>104</v>
      </c>
      <c r="I94" t="s">
        <v>112</v>
      </c>
      <c r="J94" t="s">
        <v>57</v>
      </c>
      <c r="K94">
        <v>2125558493</v>
      </c>
      <c r="L94" t="s">
        <v>58</v>
      </c>
      <c r="M94" t="s">
        <v>59</v>
      </c>
      <c r="N94" t="s">
        <v>23</v>
      </c>
      <c r="O94" t="s">
        <v>24</v>
      </c>
      <c r="P94">
        <v>10022</v>
      </c>
      <c r="Q94" t="s">
        <v>25</v>
      </c>
      <c r="R94" t="s">
        <v>26</v>
      </c>
      <c r="S94" t="s">
        <v>45</v>
      </c>
      <c r="T94" t="s">
        <v>60</v>
      </c>
      <c r="U94" t="s">
        <v>28</v>
      </c>
    </row>
    <row r="95" spans="1:21" x14ac:dyDescent="0.3">
      <c r="A95">
        <v>10270</v>
      </c>
      <c r="B95">
        <v>38</v>
      </c>
      <c r="C95">
        <v>100</v>
      </c>
      <c r="D95">
        <v>11</v>
      </c>
      <c r="E95">
        <v>4775.08</v>
      </c>
      <c r="F95" s="1" t="s">
        <v>180</v>
      </c>
      <c r="G95" t="s">
        <v>92</v>
      </c>
      <c r="H95">
        <v>104</v>
      </c>
      <c r="I95" t="s">
        <v>112</v>
      </c>
      <c r="J95" t="s">
        <v>47</v>
      </c>
      <c r="K95" t="s">
        <v>48</v>
      </c>
      <c r="L95" t="s">
        <v>49</v>
      </c>
      <c r="M95" t="s">
        <v>50</v>
      </c>
      <c r="N95" t="s">
        <v>51</v>
      </c>
      <c r="O95" t="s">
        <v>52</v>
      </c>
      <c r="P95">
        <v>2067</v>
      </c>
      <c r="Q95" t="s">
        <v>36</v>
      </c>
      <c r="R95" t="s">
        <v>37</v>
      </c>
      <c r="S95" t="s">
        <v>53</v>
      </c>
      <c r="T95" t="s">
        <v>54</v>
      </c>
      <c r="U95" t="s">
        <v>28</v>
      </c>
    </row>
    <row r="96" spans="1:21" x14ac:dyDescent="0.3">
      <c r="A96">
        <v>10347</v>
      </c>
      <c r="B96">
        <v>45</v>
      </c>
      <c r="C96">
        <v>100</v>
      </c>
      <c r="D96">
        <v>11</v>
      </c>
      <c r="E96">
        <v>4948.2</v>
      </c>
      <c r="F96" s="1" t="s">
        <v>181</v>
      </c>
      <c r="G96" t="s">
        <v>92</v>
      </c>
      <c r="H96">
        <v>104</v>
      </c>
      <c r="I96" t="s">
        <v>112</v>
      </c>
      <c r="J96" t="s">
        <v>30</v>
      </c>
      <c r="K96" t="s">
        <v>31</v>
      </c>
      <c r="L96" t="s">
        <v>32</v>
      </c>
      <c r="M96" t="s">
        <v>33</v>
      </c>
      <c r="N96" t="s">
        <v>34</v>
      </c>
      <c r="O96" t="s">
        <v>35</v>
      </c>
      <c r="P96">
        <v>3004</v>
      </c>
      <c r="Q96" t="s">
        <v>36</v>
      </c>
      <c r="R96" t="s">
        <v>37</v>
      </c>
      <c r="S96" t="s">
        <v>38</v>
      </c>
      <c r="T96" t="s">
        <v>39</v>
      </c>
      <c r="U96" t="s">
        <v>28</v>
      </c>
    </row>
    <row r="97" spans="1:21" x14ac:dyDescent="0.3">
      <c r="A97">
        <v>10127</v>
      </c>
      <c r="B97">
        <v>22</v>
      </c>
      <c r="C97">
        <v>100</v>
      </c>
      <c r="D97">
        <v>15</v>
      </c>
      <c r="E97">
        <v>3837.24</v>
      </c>
      <c r="F97" s="1">
        <v>37686</v>
      </c>
      <c r="G97" t="s">
        <v>55</v>
      </c>
      <c r="H97">
        <v>169</v>
      </c>
      <c r="I97" t="s">
        <v>113</v>
      </c>
      <c r="J97" t="s">
        <v>74</v>
      </c>
      <c r="K97">
        <v>2125557413</v>
      </c>
      <c r="L97" t="s">
        <v>75</v>
      </c>
      <c r="M97" t="s">
        <v>76</v>
      </c>
      <c r="N97" t="s">
        <v>23</v>
      </c>
      <c r="O97" t="s">
        <v>24</v>
      </c>
      <c r="P97">
        <v>10022</v>
      </c>
      <c r="Q97" t="s">
        <v>25</v>
      </c>
      <c r="R97" t="s">
        <v>26</v>
      </c>
      <c r="S97" t="s">
        <v>29</v>
      </c>
      <c r="T97" t="s">
        <v>77</v>
      </c>
      <c r="U97" t="s">
        <v>28</v>
      </c>
    </row>
    <row r="98" spans="1:21" x14ac:dyDescent="0.3">
      <c r="A98">
        <v>10148</v>
      </c>
      <c r="B98">
        <v>32</v>
      </c>
      <c r="C98">
        <v>100</v>
      </c>
      <c r="D98">
        <v>14</v>
      </c>
      <c r="E98">
        <v>5418.88</v>
      </c>
      <c r="F98" s="1">
        <v>37934</v>
      </c>
      <c r="G98" t="s">
        <v>55</v>
      </c>
      <c r="H98">
        <v>169</v>
      </c>
      <c r="I98" t="s">
        <v>113</v>
      </c>
      <c r="J98" t="s">
        <v>61</v>
      </c>
      <c r="K98" t="s">
        <v>62</v>
      </c>
      <c r="L98" t="s">
        <v>63</v>
      </c>
      <c r="M98" t="s">
        <v>64</v>
      </c>
      <c r="N98" t="s">
        <v>65</v>
      </c>
      <c r="O98" t="s">
        <v>52</v>
      </c>
      <c r="P98">
        <v>2060</v>
      </c>
      <c r="Q98" t="s">
        <v>36</v>
      </c>
      <c r="R98" t="s">
        <v>37</v>
      </c>
      <c r="S98" t="s">
        <v>66</v>
      </c>
      <c r="T98" t="s">
        <v>67</v>
      </c>
      <c r="U98" t="s">
        <v>28</v>
      </c>
    </row>
    <row r="99" spans="1:21" x14ac:dyDescent="0.3">
      <c r="A99">
        <v>10324</v>
      </c>
      <c r="B99">
        <v>27</v>
      </c>
      <c r="C99">
        <v>100</v>
      </c>
      <c r="D99">
        <v>12</v>
      </c>
      <c r="E99">
        <v>3155.49</v>
      </c>
      <c r="F99" s="1">
        <v>38118</v>
      </c>
      <c r="G99" t="s">
        <v>55</v>
      </c>
      <c r="H99">
        <v>169</v>
      </c>
      <c r="I99" t="s">
        <v>113</v>
      </c>
      <c r="J99" t="s">
        <v>40</v>
      </c>
      <c r="K99">
        <v>2125551500</v>
      </c>
      <c r="L99" t="s">
        <v>41</v>
      </c>
      <c r="M99" t="s">
        <v>42</v>
      </c>
      <c r="N99" t="s">
        <v>23</v>
      </c>
      <c r="O99" t="s">
        <v>24</v>
      </c>
      <c r="P99">
        <v>10022</v>
      </c>
      <c r="Q99" t="s">
        <v>25</v>
      </c>
      <c r="R99" t="s">
        <v>26</v>
      </c>
      <c r="S99" t="s">
        <v>43</v>
      </c>
      <c r="T99" t="s">
        <v>44</v>
      </c>
      <c r="U99" t="s">
        <v>28</v>
      </c>
    </row>
    <row r="100" spans="1:21" x14ac:dyDescent="0.3">
      <c r="A100">
        <v>10342</v>
      </c>
      <c r="B100">
        <v>30</v>
      </c>
      <c r="C100">
        <v>100</v>
      </c>
      <c r="D100">
        <v>4</v>
      </c>
      <c r="E100">
        <v>5029.5</v>
      </c>
      <c r="F100" s="1" t="s">
        <v>185</v>
      </c>
      <c r="G100" t="s">
        <v>55</v>
      </c>
      <c r="H100">
        <v>169</v>
      </c>
      <c r="I100" t="s">
        <v>113</v>
      </c>
      <c r="J100" t="s">
        <v>30</v>
      </c>
      <c r="K100" t="s">
        <v>31</v>
      </c>
      <c r="L100" t="s">
        <v>32</v>
      </c>
      <c r="M100" t="s">
        <v>33</v>
      </c>
      <c r="N100" t="s">
        <v>34</v>
      </c>
      <c r="O100" t="s">
        <v>35</v>
      </c>
      <c r="P100">
        <v>3004</v>
      </c>
      <c r="Q100" t="s">
        <v>36</v>
      </c>
      <c r="R100" t="s">
        <v>37</v>
      </c>
      <c r="S100" t="s">
        <v>38</v>
      </c>
      <c r="T100" t="s">
        <v>39</v>
      </c>
      <c r="U100" t="s">
        <v>28</v>
      </c>
    </row>
    <row r="101" spans="1:21" x14ac:dyDescent="0.3">
      <c r="A101">
        <v>10349</v>
      </c>
      <c r="B101">
        <v>48</v>
      </c>
      <c r="C101">
        <v>100</v>
      </c>
      <c r="D101">
        <v>6</v>
      </c>
      <c r="E101">
        <v>7396.8</v>
      </c>
      <c r="F101" s="1">
        <v>37998</v>
      </c>
      <c r="G101" t="s">
        <v>55</v>
      </c>
      <c r="H101">
        <v>169</v>
      </c>
      <c r="I101" t="s">
        <v>113</v>
      </c>
      <c r="J101" t="s">
        <v>74</v>
      </c>
      <c r="K101">
        <v>2125557413</v>
      </c>
      <c r="L101" t="s">
        <v>75</v>
      </c>
      <c r="M101" t="s">
        <v>76</v>
      </c>
      <c r="N101" t="s">
        <v>23</v>
      </c>
      <c r="O101" t="s">
        <v>24</v>
      </c>
      <c r="P101">
        <v>10022</v>
      </c>
      <c r="Q101" t="s">
        <v>25</v>
      </c>
      <c r="R101" t="s">
        <v>26</v>
      </c>
      <c r="S101" t="s">
        <v>29</v>
      </c>
      <c r="T101" t="s">
        <v>77</v>
      </c>
      <c r="U101" t="s">
        <v>46</v>
      </c>
    </row>
    <row r="102" spans="1:21" x14ac:dyDescent="0.3">
      <c r="A102">
        <v>10370</v>
      </c>
      <c r="B102">
        <v>27</v>
      </c>
      <c r="C102">
        <v>56.85</v>
      </c>
      <c r="D102">
        <v>9</v>
      </c>
      <c r="E102">
        <v>1534.95</v>
      </c>
      <c r="F102" s="1" t="s">
        <v>184</v>
      </c>
      <c r="G102" t="s">
        <v>55</v>
      </c>
      <c r="H102">
        <v>169</v>
      </c>
      <c r="I102" t="s">
        <v>113</v>
      </c>
      <c r="J102" t="s">
        <v>61</v>
      </c>
      <c r="K102" t="s">
        <v>62</v>
      </c>
      <c r="L102" t="s">
        <v>63</v>
      </c>
      <c r="M102" t="s">
        <v>64</v>
      </c>
      <c r="N102" t="s">
        <v>65</v>
      </c>
      <c r="O102" t="s">
        <v>52</v>
      </c>
      <c r="P102">
        <v>2060</v>
      </c>
      <c r="Q102" t="s">
        <v>36</v>
      </c>
      <c r="R102" t="s">
        <v>37</v>
      </c>
      <c r="S102" t="s">
        <v>66</v>
      </c>
      <c r="T102" t="s">
        <v>67</v>
      </c>
      <c r="U102" t="s">
        <v>27</v>
      </c>
    </row>
    <row r="103" spans="1:21" x14ac:dyDescent="0.3">
      <c r="A103">
        <v>10169</v>
      </c>
      <c r="B103">
        <v>32</v>
      </c>
      <c r="C103">
        <v>70.760000000000005</v>
      </c>
      <c r="D103">
        <v>5</v>
      </c>
      <c r="E103">
        <v>2264.3200000000002</v>
      </c>
      <c r="F103" s="1">
        <v>37722</v>
      </c>
      <c r="G103" t="s">
        <v>55</v>
      </c>
      <c r="H103">
        <v>80</v>
      </c>
      <c r="I103" t="s">
        <v>115</v>
      </c>
      <c r="J103" t="s">
        <v>61</v>
      </c>
      <c r="K103" t="s">
        <v>62</v>
      </c>
      <c r="L103" t="s">
        <v>63</v>
      </c>
      <c r="M103" t="s">
        <v>64</v>
      </c>
      <c r="N103" t="s">
        <v>65</v>
      </c>
      <c r="O103" t="s">
        <v>52</v>
      </c>
      <c r="P103">
        <v>2060</v>
      </c>
      <c r="Q103" t="s">
        <v>36</v>
      </c>
      <c r="R103" t="s">
        <v>37</v>
      </c>
      <c r="S103" t="s">
        <v>66</v>
      </c>
      <c r="T103" t="s">
        <v>67</v>
      </c>
      <c r="U103" t="s">
        <v>27</v>
      </c>
    </row>
    <row r="104" spans="1:21" x14ac:dyDescent="0.3">
      <c r="A104">
        <v>10319</v>
      </c>
      <c r="B104">
        <v>46</v>
      </c>
      <c r="C104">
        <v>73.98</v>
      </c>
      <c r="D104">
        <v>1</v>
      </c>
      <c r="E104">
        <v>3403.08</v>
      </c>
      <c r="F104" s="1">
        <v>38057</v>
      </c>
      <c r="G104" t="s">
        <v>55</v>
      </c>
      <c r="H104">
        <v>80</v>
      </c>
      <c r="I104" t="s">
        <v>115</v>
      </c>
      <c r="J104" t="s">
        <v>81</v>
      </c>
      <c r="K104">
        <v>2125551957</v>
      </c>
      <c r="L104" t="s">
        <v>82</v>
      </c>
      <c r="M104" t="s">
        <v>83</v>
      </c>
      <c r="N104" t="s">
        <v>23</v>
      </c>
      <c r="O104" t="s">
        <v>24</v>
      </c>
      <c r="P104">
        <v>10022</v>
      </c>
      <c r="Q104" t="s">
        <v>25</v>
      </c>
      <c r="R104" t="s">
        <v>26</v>
      </c>
      <c r="S104" t="s">
        <v>84</v>
      </c>
      <c r="T104" t="s">
        <v>85</v>
      </c>
      <c r="U104" t="s">
        <v>28</v>
      </c>
    </row>
    <row r="105" spans="1:21" x14ac:dyDescent="0.3">
      <c r="A105">
        <v>10342</v>
      </c>
      <c r="B105">
        <v>25</v>
      </c>
      <c r="C105">
        <v>66.739999999999995</v>
      </c>
      <c r="D105">
        <v>5</v>
      </c>
      <c r="E105">
        <v>1668.5</v>
      </c>
      <c r="F105" s="1" t="s">
        <v>185</v>
      </c>
      <c r="G105" t="s">
        <v>55</v>
      </c>
      <c r="H105">
        <v>80</v>
      </c>
      <c r="I105" t="s">
        <v>115</v>
      </c>
      <c r="J105" t="s">
        <v>30</v>
      </c>
      <c r="K105" t="s">
        <v>31</v>
      </c>
      <c r="L105" t="s">
        <v>32</v>
      </c>
      <c r="M105" t="s">
        <v>33</v>
      </c>
      <c r="N105" t="s">
        <v>34</v>
      </c>
      <c r="O105" t="s">
        <v>35</v>
      </c>
      <c r="P105">
        <v>3004</v>
      </c>
      <c r="Q105" t="s">
        <v>36</v>
      </c>
      <c r="R105" t="s">
        <v>37</v>
      </c>
      <c r="S105" t="s">
        <v>38</v>
      </c>
      <c r="T105" t="s">
        <v>39</v>
      </c>
      <c r="U105" t="s">
        <v>27</v>
      </c>
    </row>
    <row r="106" spans="1:21" x14ac:dyDescent="0.3">
      <c r="A106">
        <v>10139</v>
      </c>
      <c r="B106">
        <v>30</v>
      </c>
      <c r="C106">
        <v>100</v>
      </c>
      <c r="D106">
        <v>5</v>
      </c>
      <c r="E106">
        <v>3095.4</v>
      </c>
      <c r="F106" s="1" t="s">
        <v>187</v>
      </c>
      <c r="G106" t="s">
        <v>92</v>
      </c>
      <c r="H106">
        <v>99</v>
      </c>
      <c r="I106" t="s">
        <v>116</v>
      </c>
      <c r="J106" t="s">
        <v>47</v>
      </c>
      <c r="K106" t="s">
        <v>48</v>
      </c>
      <c r="L106" t="s">
        <v>49</v>
      </c>
      <c r="M106" t="s">
        <v>50</v>
      </c>
      <c r="N106" t="s">
        <v>51</v>
      </c>
      <c r="O106" t="s">
        <v>52</v>
      </c>
      <c r="P106">
        <v>2067</v>
      </c>
      <c r="Q106" t="s">
        <v>36</v>
      </c>
      <c r="R106" t="s">
        <v>37</v>
      </c>
      <c r="S106" t="s">
        <v>53</v>
      </c>
      <c r="T106" t="s">
        <v>54</v>
      </c>
      <c r="U106" t="s">
        <v>28</v>
      </c>
    </row>
    <row r="107" spans="1:21" x14ac:dyDescent="0.3">
      <c r="A107">
        <v>10163</v>
      </c>
      <c r="B107">
        <v>43</v>
      </c>
      <c r="C107">
        <v>100</v>
      </c>
      <c r="D107">
        <v>6</v>
      </c>
      <c r="E107">
        <v>4991.4399999999996</v>
      </c>
      <c r="F107" s="1" t="s">
        <v>179</v>
      </c>
      <c r="G107" t="s">
        <v>92</v>
      </c>
      <c r="H107">
        <v>99</v>
      </c>
      <c r="I107" t="s">
        <v>116</v>
      </c>
      <c r="J107" t="s">
        <v>57</v>
      </c>
      <c r="K107">
        <v>2125558493</v>
      </c>
      <c r="L107" t="s">
        <v>58</v>
      </c>
      <c r="M107" t="s">
        <v>59</v>
      </c>
      <c r="N107" t="s">
        <v>23</v>
      </c>
      <c r="O107" t="s">
        <v>24</v>
      </c>
      <c r="P107">
        <v>10022</v>
      </c>
      <c r="Q107" t="s">
        <v>25</v>
      </c>
      <c r="R107" t="s">
        <v>26</v>
      </c>
      <c r="S107" t="s">
        <v>45</v>
      </c>
      <c r="T107" t="s">
        <v>60</v>
      </c>
      <c r="U107" t="s">
        <v>28</v>
      </c>
    </row>
    <row r="108" spans="1:21" x14ac:dyDescent="0.3">
      <c r="A108">
        <v>10347</v>
      </c>
      <c r="B108">
        <v>26</v>
      </c>
      <c r="C108">
        <v>100</v>
      </c>
      <c r="D108">
        <v>12</v>
      </c>
      <c r="E108">
        <v>2656.94</v>
      </c>
      <c r="F108" s="1" t="s">
        <v>181</v>
      </c>
      <c r="G108" t="s">
        <v>92</v>
      </c>
      <c r="H108">
        <v>99</v>
      </c>
      <c r="I108" t="s">
        <v>116</v>
      </c>
      <c r="J108" t="s">
        <v>30</v>
      </c>
      <c r="K108" t="s">
        <v>31</v>
      </c>
      <c r="L108" t="s">
        <v>32</v>
      </c>
      <c r="M108" t="s">
        <v>33</v>
      </c>
      <c r="N108" t="s">
        <v>34</v>
      </c>
      <c r="O108" t="s">
        <v>35</v>
      </c>
      <c r="P108">
        <v>3004</v>
      </c>
      <c r="Q108" t="s">
        <v>36</v>
      </c>
      <c r="R108" t="s">
        <v>37</v>
      </c>
      <c r="S108" t="s">
        <v>38</v>
      </c>
      <c r="T108" t="s">
        <v>39</v>
      </c>
      <c r="U108" t="s">
        <v>27</v>
      </c>
    </row>
    <row r="109" spans="1:21" x14ac:dyDescent="0.3">
      <c r="A109">
        <v>10169</v>
      </c>
      <c r="B109">
        <v>36</v>
      </c>
      <c r="C109">
        <v>100</v>
      </c>
      <c r="D109">
        <v>4</v>
      </c>
      <c r="E109">
        <v>4444.92</v>
      </c>
      <c r="F109" s="1">
        <v>37722</v>
      </c>
      <c r="G109" t="s">
        <v>55</v>
      </c>
      <c r="H109">
        <v>146</v>
      </c>
      <c r="I109" t="s">
        <v>117</v>
      </c>
      <c r="J109" t="s">
        <v>61</v>
      </c>
      <c r="K109" t="s">
        <v>62</v>
      </c>
      <c r="L109" t="s">
        <v>63</v>
      </c>
      <c r="M109" t="s">
        <v>64</v>
      </c>
      <c r="N109" t="s">
        <v>65</v>
      </c>
      <c r="O109" t="s">
        <v>52</v>
      </c>
      <c r="P109">
        <v>2060</v>
      </c>
      <c r="Q109" t="s">
        <v>36</v>
      </c>
      <c r="R109" t="s">
        <v>37</v>
      </c>
      <c r="S109" t="s">
        <v>66</v>
      </c>
      <c r="T109" t="s">
        <v>67</v>
      </c>
      <c r="U109" t="s">
        <v>28</v>
      </c>
    </row>
    <row r="110" spans="1:21" x14ac:dyDescent="0.3">
      <c r="A110">
        <v>10342</v>
      </c>
      <c r="B110">
        <v>55</v>
      </c>
      <c r="C110">
        <v>100</v>
      </c>
      <c r="D110">
        <v>7</v>
      </c>
      <c r="E110">
        <v>6548.3</v>
      </c>
      <c r="F110" s="1" t="s">
        <v>185</v>
      </c>
      <c r="G110" t="s">
        <v>55</v>
      </c>
      <c r="H110">
        <v>146</v>
      </c>
      <c r="I110" t="s">
        <v>117</v>
      </c>
      <c r="J110" t="s">
        <v>30</v>
      </c>
      <c r="K110" t="s">
        <v>31</v>
      </c>
      <c r="L110" t="s">
        <v>32</v>
      </c>
      <c r="M110" t="s">
        <v>33</v>
      </c>
      <c r="N110" t="s">
        <v>34</v>
      </c>
      <c r="O110" t="s">
        <v>35</v>
      </c>
      <c r="P110">
        <v>3004</v>
      </c>
      <c r="Q110" t="s">
        <v>36</v>
      </c>
      <c r="R110" t="s">
        <v>37</v>
      </c>
      <c r="S110" t="s">
        <v>38</v>
      </c>
      <c r="T110" t="s">
        <v>39</v>
      </c>
      <c r="U110" t="s">
        <v>28</v>
      </c>
    </row>
    <row r="111" spans="1:21" x14ac:dyDescent="0.3">
      <c r="A111">
        <v>10148</v>
      </c>
      <c r="B111">
        <v>28</v>
      </c>
      <c r="C111">
        <v>100</v>
      </c>
      <c r="D111">
        <v>11</v>
      </c>
      <c r="E111">
        <v>3639.44</v>
      </c>
      <c r="F111" s="1">
        <v>37934</v>
      </c>
      <c r="G111" t="s">
        <v>55</v>
      </c>
      <c r="H111">
        <v>141</v>
      </c>
      <c r="I111" t="s">
        <v>118</v>
      </c>
      <c r="J111" t="s">
        <v>61</v>
      </c>
      <c r="K111" t="s">
        <v>62</v>
      </c>
      <c r="L111" t="s">
        <v>63</v>
      </c>
      <c r="M111" t="s">
        <v>64</v>
      </c>
      <c r="N111" t="s">
        <v>65</v>
      </c>
      <c r="O111" t="s">
        <v>52</v>
      </c>
      <c r="P111">
        <v>2060</v>
      </c>
      <c r="Q111" t="s">
        <v>36</v>
      </c>
      <c r="R111" t="s">
        <v>37</v>
      </c>
      <c r="S111" t="s">
        <v>66</v>
      </c>
      <c r="T111" t="s">
        <v>67</v>
      </c>
      <c r="U111" t="s">
        <v>28</v>
      </c>
    </row>
    <row r="112" spans="1:21" x14ac:dyDescent="0.3">
      <c r="A112">
        <v>10204</v>
      </c>
      <c r="B112">
        <v>35</v>
      </c>
      <c r="C112">
        <v>100</v>
      </c>
      <c r="D112">
        <v>15</v>
      </c>
      <c r="E112">
        <v>5735.8</v>
      </c>
      <c r="F112" s="1">
        <v>37664</v>
      </c>
      <c r="G112" t="s">
        <v>55</v>
      </c>
      <c r="H112">
        <v>141</v>
      </c>
      <c r="I112" t="s">
        <v>118</v>
      </c>
      <c r="J112" t="s">
        <v>74</v>
      </c>
      <c r="K112">
        <v>2125557413</v>
      </c>
      <c r="L112" t="s">
        <v>75</v>
      </c>
      <c r="M112" t="s">
        <v>76</v>
      </c>
      <c r="N112" t="s">
        <v>23</v>
      </c>
      <c r="O112" t="s">
        <v>24</v>
      </c>
      <c r="P112">
        <v>10022</v>
      </c>
      <c r="Q112" t="s">
        <v>25</v>
      </c>
      <c r="R112" t="s">
        <v>26</v>
      </c>
      <c r="S112" t="s">
        <v>29</v>
      </c>
      <c r="T112" t="s">
        <v>77</v>
      </c>
      <c r="U112" t="s">
        <v>28</v>
      </c>
    </row>
    <row r="113" spans="1:21" x14ac:dyDescent="0.3">
      <c r="A113">
        <v>10169</v>
      </c>
      <c r="B113">
        <v>38</v>
      </c>
      <c r="C113">
        <v>68.39</v>
      </c>
      <c r="D113">
        <v>8</v>
      </c>
      <c r="E113">
        <v>2598.8200000000002</v>
      </c>
      <c r="F113" s="1">
        <v>37722</v>
      </c>
      <c r="G113" t="s">
        <v>21</v>
      </c>
      <c r="H113">
        <v>62</v>
      </c>
      <c r="I113" t="s">
        <v>119</v>
      </c>
      <c r="J113" t="s">
        <v>61</v>
      </c>
      <c r="K113" t="s">
        <v>62</v>
      </c>
      <c r="L113" t="s">
        <v>63</v>
      </c>
      <c r="M113" t="s">
        <v>64</v>
      </c>
      <c r="N113" t="s">
        <v>65</v>
      </c>
      <c r="O113" t="s">
        <v>52</v>
      </c>
      <c r="P113">
        <v>2060</v>
      </c>
      <c r="Q113" t="s">
        <v>36</v>
      </c>
      <c r="R113" t="s">
        <v>37</v>
      </c>
      <c r="S113" t="s">
        <v>66</v>
      </c>
      <c r="T113" t="s">
        <v>67</v>
      </c>
      <c r="U113" t="s">
        <v>27</v>
      </c>
    </row>
    <row r="114" spans="1:21" x14ac:dyDescent="0.3">
      <c r="A114">
        <v>10237</v>
      </c>
      <c r="B114">
        <v>26</v>
      </c>
      <c r="C114">
        <v>52.22</v>
      </c>
      <c r="D114">
        <v>1</v>
      </c>
      <c r="E114">
        <v>1357.72</v>
      </c>
      <c r="F114" s="1">
        <v>38111</v>
      </c>
      <c r="G114" t="s">
        <v>21</v>
      </c>
      <c r="H114">
        <v>62</v>
      </c>
      <c r="I114" t="s">
        <v>119</v>
      </c>
      <c r="J114" t="s">
        <v>40</v>
      </c>
      <c r="K114">
        <v>2125551500</v>
      </c>
      <c r="L114" t="s">
        <v>41</v>
      </c>
      <c r="M114" t="s">
        <v>42</v>
      </c>
      <c r="N114" t="s">
        <v>23</v>
      </c>
      <c r="O114" t="s">
        <v>24</v>
      </c>
      <c r="P114">
        <v>10022</v>
      </c>
      <c r="Q114" t="s">
        <v>25</v>
      </c>
      <c r="R114" t="s">
        <v>26</v>
      </c>
      <c r="S114" t="s">
        <v>43</v>
      </c>
      <c r="T114" t="s">
        <v>44</v>
      </c>
      <c r="U114" t="s">
        <v>27</v>
      </c>
    </row>
    <row r="115" spans="1:21" x14ac:dyDescent="0.3">
      <c r="A115">
        <v>10319</v>
      </c>
      <c r="B115">
        <v>44</v>
      </c>
      <c r="C115">
        <v>59.06</v>
      </c>
      <c r="D115">
        <v>4</v>
      </c>
      <c r="E115">
        <v>2598.64</v>
      </c>
      <c r="F115" s="1">
        <v>38057</v>
      </c>
      <c r="G115" t="s">
        <v>21</v>
      </c>
      <c r="H115">
        <v>62</v>
      </c>
      <c r="I115" t="s">
        <v>119</v>
      </c>
      <c r="J115" t="s">
        <v>81</v>
      </c>
      <c r="K115">
        <v>2125551957</v>
      </c>
      <c r="L115" t="s">
        <v>82</v>
      </c>
      <c r="M115" t="s">
        <v>83</v>
      </c>
      <c r="N115" t="s">
        <v>23</v>
      </c>
      <c r="O115" t="s">
        <v>24</v>
      </c>
      <c r="P115">
        <v>10022</v>
      </c>
      <c r="Q115" t="s">
        <v>25</v>
      </c>
      <c r="R115" t="s">
        <v>26</v>
      </c>
      <c r="S115" t="s">
        <v>84</v>
      </c>
      <c r="T115" t="s">
        <v>85</v>
      </c>
      <c r="U115" t="s">
        <v>27</v>
      </c>
    </row>
    <row r="116" spans="1:21" x14ac:dyDescent="0.3">
      <c r="A116">
        <v>10342</v>
      </c>
      <c r="B116">
        <v>26</v>
      </c>
      <c r="C116">
        <v>55.95</v>
      </c>
      <c r="D116">
        <v>8</v>
      </c>
      <c r="E116">
        <v>1454.7</v>
      </c>
      <c r="F116" s="1" t="s">
        <v>185</v>
      </c>
      <c r="G116" t="s">
        <v>21</v>
      </c>
      <c r="H116">
        <v>62</v>
      </c>
      <c r="I116" t="s">
        <v>119</v>
      </c>
      <c r="J116" t="s">
        <v>30</v>
      </c>
      <c r="K116" t="s">
        <v>31</v>
      </c>
      <c r="L116" t="s">
        <v>32</v>
      </c>
      <c r="M116" t="s">
        <v>33</v>
      </c>
      <c r="N116" t="s">
        <v>34</v>
      </c>
      <c r="O116" t="s">
        <v>35</v>
      </c>
      <c r="P116">
        <v>3004</v>
      </c>
      <c r="Q116" t="s">
        <v>36</v>
      </c>
      <c r="R116" t="s">
        <v>37</v>
      </c>
      <c r="S116" t="s">
        <v>38</v>
      </c>
      <c r="T116" t="s">
        <v>39</v>
      </c>
      <c r="U116" t="s">
        <v>27</v>
      </c>
    </row>
    <row r="117" spans="1:21" x14ac:dyDescent="0.3">
      <c r="A117">
        <v>10127</v>
      </c>
      <c r="B117">
        <v>25</v>
      </c>
      <c r="C117">
        <v>100</v>
      </c>
      <c r="D117">
        <v>5</v>
      </c>
      <c r="E117">
        <v>3447</v>
      </c>
      <c r="F117" s="1">
        <v>37686</v>
      </c>
      <c r="G117" t="s">
        <v>55</v>
      </c>
      <c r="H117">
        <v>143</v>
      </c>
      <c r="I117" t="s">
        <v>120</v>
      </c>
      <c r="J117" t="s">
        <v>74</v>
      </c>
      <c r="K117">
        <v>2125557413</v>
      </c>
      <c r="L117" t="s">
        <v>75</v>
      </c>
      <c r="M117" t="s">
        <v>76</v>
      </c>
      <c r="N117" t="s">
        <v>23</v>
      </c>
      <c r="O117" t="s">
        <v>24</v>
      </c>
      <c r="P117">
        <v>10022</v>
      </c>
      <c r="Q117" t="s">
        <v>25</v>
      </c>
      <c r="R117" t="s">
        <v>26</v>
      </c>
      <c r="S117" t="s">
        <v>29</v>
      </c>
      <c r="T117" t="s">
        <v>77</v>
      </c>
      <c r="U117" t="s">
        <v>28</v>
      </c>
    </row>
    <row r="118" spans="1:21" x14ac:dyDescent="0.3">
      <c r="A118">
        <v>10324</v>
      </c>
      <c r="B118">
        <v>49</v>
      </c>
      <c r="C118">
        <v>100</v>
      </c>
      <c r="D118">
        <v>13</v>
      </c>
      <c r="E118">
        <v>5379.71</v>
      </c>
      <c r="F118" s="1">
        <v>38118</v>
      </c>
      <c r="G118" t="s">
        <v>55</v>
      </c>
      <c r="H118">
        <v>143</v>
      </c>
      <c r="I118" t="s">
        <v>120</v>
      </c>
      <c r="J118" t="s">
        <v>40</v>
      </c>
      <c r="K118">
        <v>2125551500</v>
      </c>
      <c r="L118" t="s">
        <v>41</v>
      </c>
      <c r="M118" t="s">
        <v>42</v>
      </c>
      <c r="N118" t="s">
        <v>23</v>
      </c>
      <c r="O118" t="s">
        <v>24</v>
      </c>
      <c r="P118">
        <v>10022</v>
      </c>
      <c r="Q118" t="s">
        <v>25</v>
      </c>
      <c r="R118" t="s">
        <v>26</v>
      </c>
      <c r="S118" t="s">
        <v>43</v>
      </c>
      <c r="T118" t="s">
        <v>44</v>
      </c>
      <c r="U118" t="s">
        <v>28</v>
      </c>
    </row>
    <row r="119" spans="1:21" x14ac:dyDescent="0.3">
      <c r="A119">
        <v>10337</v>
      </c>
      <c r="B119">
        <v>36</v>
      </c>
      <c r="C119">
        <v>100</v>
      </c>
      <c r="D119">
        <v>3</v>
      </c>
      <c r="E119">
        <v>5679.36</v>
      </c>
      <c r="F119" s="1" t="s">
        <v>183</v>
      </c>
      <c r="G119" t="s">
        <v>55</v>
      </c>
      <c r="H119">
        <v>143</v>
      </c>
      <c r="I119" t="s">
        <v>120</v>
      </c>
      <c r="J119" t="s">
        <v>57</v>
      </c>
      <c r="K119">
        <v>2125558493</v>
      </c>
      <c r="L119" t="s">
        <v>58</v>
      </c>
      <c r="M119" t="s">
        <v>59</v>
      </c>
      <c r="N119" t="s">
        <v>23</v>
      </c>
      <c r="O119" t="s">
        <v>24</v>
      </c>
      <c r="P119">
        <v>10022</v>
      </c>
      <c r="Q119" t="s">
        <v>25</v>
      </c>
      <c r="R119" t="s">
        <v>26</v>
      </c>
      <c r="S119" t="s">
        <v>45</v>
      </c>
      <c r="T119" t="s">
        <v>60</v>
      </c>
      <c r="U119" t="s">
        <v>28</v>
      </c>
    </row>
    <row r="120" spans="1:21" x14ac:dyDescent="0.3">
      <c r="A120">
        <v>10349</v>
      </c>
      <c r="B120">
        <v>34</v>
      </c>
      <c r="C120">
        <v>100</v>
      </c>
      <c r="D120">
        <v>5</v>
      </c>
      <c r="E120">
        <v>4394.84</v>
      </c>
      <c r="F120" s="1">
        <v>37998</v>
      </c>
      <c r="G120" t="s">
        <v>55</v>
      </c>
      <c r="H120">
        <v>143</v>
      </c>
      <c r="I120" t="s">
        <v>120</v>
      </c>
      <c r="J120" t="s">
        <v>74</v>
      </c>
      <c r="K120">
        <v>2125557413</v>
      </c>
      <c r="L120" t="s">
        <v>75</v>
      </c>
      <c r="M120" t="s">
        <v>76</v>
      </c>
      <c r="N120" t="s">
        <v>23</v>
      </c>
      <c r="O120" t="s">
        <v>24</v>
      </c>
      <c r="P120">
        <v>10022</v>
      </c>
      <c r="Q120" t="s">
        <v>25</v>
      </c>
      <c r="R120" t="s">
        <v>26</v>
      </c>
      <c r="S120" t="s">
        <v>29</v>
      </c>
      <c r="T120" t="s">
        <v>77</v>
      </c>
      <c r="U120" t="s">
        <v>28</v>
      </c>
    </row>
    <row r="121" spans="1:21" x14ac:dyDescent="0.3">
      <c r="A121">
        <v>10148</v>
      </c>
      <c r="B121">
        <v>34</v>
      </c>
      <c r="C121">
        <v>100</v>
      </c>
      <c r="D121">
        <v>1</v>
      </c>
      <c r="E121">
        <v>3598.22</v>
      </c>
      <c r="F121" s="1">
        <v>37934</v>
      </c>
      <c r="G121" t="s">
        <v>92</v>
      </c>
      <c r="H121">
        <v>92</v>
      </c>
      <c r="I121" t="s">
        <v>121</v>
      </c>
      <c r="J121" t="s">
        <v>61</v>
      </c>
      <c r="K121" t="s">
        <v>62</v>
      </c>
      <c r="L121" t="s">
        <v>63</v>
      </c>
      <c r="M121" t="s">
        <v>64</v>
      </c>
      <c r="N121" t="s">
        <v>65</v>
      </c>
      <c r="O121" t="s">
        <v>52</v>
      </c>
      <c r="P121">
        <v>2060</v>
      </c>
      <c r="Q121" t="s">
        <v>36</v>
      </c>
      <c r="R121" t="s">
        <v>37</v>
      </c>
      <c r="S121" t="s">
        <v>66</v>
      </c>
      <c r="T121" t="s">
        <v>67</v>
      </c>
      <c r="U121" t="s">
        <v>28</v>
      </c>
    </row>
    <row r="122" spans="1:21" x14ac:dyDescent="0.3">
      <c r="A122">
        <v>10204</v>
      </c>
      <c r="B122">
        <v>29</v>
      </c>
      <c r="C122">
        <v>85.59</v>
      </c>
      <c r="D122">
        <v>5</v>
      </c>
      <c r="E122">
        <v>2482.11</v>
      </c>
      <c r="F122" s="1">
        <v>37664</v>
      </c>
      <c r="G122" t="s">
        <v>92</v>
      </c>
      <c r="H122">
        <v>92</v>
      </c>
      <c r="I122" t="s">
        <v>121</v>
      </c>
      <c r="J122" t="s">
        <v>74</v>
      </c>
      <c r="K122">
        <v>2125557413</v>
      </c>
      <c r="L122" t="s">
        <v>75</v>
      </c>
      <c r="M122" t="s">
        <v>76</v>
      </c>
      <c r="N122" t="s">
        <v>23</v>
      </c>
      <c r="O122" t="s">
        <v>24</v>
      </c>
      <c r="P122">
        <v>10022</v>
      </c>
      <c r="Q122" t="s">
        <v>25</v>
      </c>
      <c r="R122" t="s">
        <v>26</v>
      </c>
      <c r="S122" t="s">
        <v>29</v>
      </c>
      <c r="T122" t="s">
        <v>77</v>
      </c>
      <c r="U122" t="s">
        <v>27</v>
      </c>
    </row>
    <row r="123" spans="1:21" x14ac:dyDescent="0.3">
      <c r="A123">
        <v>10420</v>
      </c>
      <c r="B123">
        <v>66</v>
      </c>
      <c r="C123">
        <v>92.95</v>
      </c>
      <c r="D123">
        <v>6</v>
      </c>
      <c r="E123">
        <v>6134.7</v>
      </c>
      <c r="F123" s="1" t="s">
        <v>188</v>
      </c>
      <c r="G123" t="s">
        <v>92</v>
      </c>
      <c r="H123">
        <v>92</v>
      </c>
      <c r="I123" t="s">
        <v>121</v>
      </c>
      <c r="J123" t="s">
        <v>47</v>
      </c>
      <c r="K123" t="s">
        <v>48</v>
      </c>
      <c r="L123" t="s">
        <v>49</v>
      </c>
      <c r="M123" t="s">
        <v>50</v>
      </c>
      <c r="N123" t="s">
        <v>51</v>
      </c>
      <c r="O123" t="s">
        <v>52</v>
      </c>
      <c r="P123">
        <v>2067</v>
      </c>
      <c r="Q123" t="s">
        <v>36</v>
      </c>
      <c r="R123" t="s">
        <v>37</v>
      </c>
      <c r="S123" t="s">
        <v>53</v>
      </c>
      <c r="T123" t="s">
        <v>54</v>
      </c>
      <c r="U123" t="s">
        <v>28</v>
      </c>
    </row>
    <row r="124" spans="1:21" x14ac:dyDescent="0.3">
      <c r="A124">
        <v>10337</v>
      </c>
      <c r="B124">
        <v>29</v>
      </c>
      <c r="C124">
        <v>100</v>
      </c>
      <c r="D124">
        <v>2</v>
      </c>
      <c r="E124">
        <v>4498.1899999999996</v>
      </c>
      <c r="F124" s="1" t="s">
        <v>183</v>
      </c>
      <c r="G124" t="s">
        <v>92</v>
      </c>
      <c r="H124">
        <v>87</v>
      </c>
      <c r="I124" t="s">
        <v>122</v>
      </c>
      <c r="J124" t="s">
        <v>57</v>
      </c>
      <c r="K124">
        <v>2125558493</v>
      </c>
      <c r="L124" t="s">
        <v>58</v>
      </c>
      <c r="M124" t="s">
        <v>59</v>
      </c>
      <c r="N124" t="s">
        <v>23</v>
      </c>
      <c r="O124" t="s">
        <v>24</v>
      </c>
      <c r="P124">
        <v>10022</v>
      </c>
      <c r="Q124" t="s">
        <v>25</v>
      </c>
      <c r="R124" t="s">
        <v>26</v>
      </c>
      <c r="S124" t="s">
        <v>45</v>
      </c>
      <c r="T124" t="s">
        <v>60</v>
      </c>
      <c r="U124" t="s">
        <v>28</v>
      </c>
    </row>
    <row r="125" spans="1:21" x14ac:dyDescent="0.3">
      <c r="A125">
        <v>10270</v>
      </c>
      <c r="B125">
        <v>38</v>
      </c>
      <c r="C125">
        <v>100</v>
      </c>
      <c r="D125">
        <v>3</v>
      </c>
      <c r="E125">
        <v>5383.08</v>
      </c>
      <c r="F125" s="1" t="s">
        <v>180</v>
      </c>
      <c r="G125" t="s">
        <v>78</v>
      </c>
      <c r="H125">
        <v>121</v>
      </c>
      <c r="I125" t="s">
        <v>123</v>
      </c>
      <c r="J125" t="s">
        <v>47</v>
      </c>
      <c r="K125" t="s">
        <v>48</v>
      </c>
      <c r="L125" t="s">
        <v>49</v>
      </c>
      <c r="M125" t="s">
        <v>50</v>
      </c>
      <c r="N125" t="s">
        <v>51</v>
      </c>
      <c r="O125" t="s">
        <v>52</v>
      </c>
      <c r="P125">
        <v>2067</v>
      </c>
      <c r="Q125" t="s">
        <v>36</v>
      </c>
      <c r="R125" t="s">
        <v>37</v>
      </c>
      <c r="S125" t="s">
        <v>53</v>
      </c>
      <c r="T125" t="s">
        <v>54</v>
      </c>
      <c r="U125" t="s">
        <v>28</v>
      </c>
    </row>
    <row r="126" spans="1:21" x14ac:dyDescent="0.3">
      <c r="A126">
        <v>10347</v>
      </c>
      <c r="B126">
        <v>45</v>
      </c>
      <c r="C126">
        <v>100</v>
      </c>
      <c r="D126">
        <v>4</v>
      </c>
      <c r="E126">
        <v>5884.65</v>
      </c>
      <c r="F126" s="1" t="s">
        <v>181</v>
      </c>
      <c r="G126" t="s">
        <v>78</v>
      </c>
      <c r="H126">
        <v>121</v>
      </c>
      <c r="I126" t="s">
        <v>123</v>
      </c>
      <c r="J126" t="s">
        <v>30</v>
      </c>
      <c r="K126" t="s">
        <v>31</v>
      </c>
      <c r="L126" t="s">
        <v>32</v>
      </c>
      <c r="M126" t="s">
        <v>33</v>
      </c>
      <c r="N126" t="s">
        <v>34</v>
      </c>
      <c r="O126" t="s">
        <v>35</v>
      </c>
      <c r="P126">
        <v>3004</v>
      </c>
      <c r="Q126" t="s">
        <v>36</v>
      </c>
      <c r="R126" t="s">
        <v>37</v>
      </c>
      <c r="S126" t="s">
        <v>38</v>
      </c>
      <c r="T126" t="s">
        <v>39</v>
      </c>
      <c r="U126" t="s">
        <v>28</v>
      </c>
    </row>
    <row r="127" spans="1:21" x14ac:dyDescent="0.3">
      <c r="A127">
        <v>10370</v>
      </c>
      <c r="B127">
        <v>29</v>
      </c>
      <c r="C127">
        <v>57.53</v>
      </c>
      <c r="D127">
        <v>6</v>
      </c>
      <c r="E127">
        <v>1668.37</v>
      </c>
      <c r="F127" s="1" t="s">
        <v>184</v>
      </c>
      <c r="G127" t="s">
        <v>78</v>
      </c>
      <c r="H127">
        <v>121</v>
      </c>
      <c r="I127" t="s">
        <v>123</v>
      </c>
      <c r="J127" t="s">
        <v>61</v>
      </c>
      <c r="K127" t="s">
        <v>62</v>
      </c>
      <c r="L127" t="s">
        <v>63</v>
      </c>
      <c r="M127" t="s">
        <v>64</v>
      </c>
      <c r="N127" t="s">
        <v>65</v>
      </c>
      <c r="O127" t="s">
        <v>52</v>
      </c>
      <c r="P127">
        <v>2060</v>
      </c>
      <c r="Q127" t="s">
        <v>36</v>
      </c>
      <c r="R127" t="s">
        <v>37</v>
      </c>
      <c r="S127" t="s">
        <v>66</v>
      </c>
      <c r="T127" t="s">
        <v>67</v>
      </c>
      <c r="U127" t="s">
        <v>27</v>
      </c>
    </row>
    <row r="128" spans="1:21" x14ac:dyDescent="0.3">
      <c r="A128">
        <v>10270</v>
      </c>
      <c r="B128">
        <v>44</v>
      </c>
      <c r="C128">
        <v>58.36</v>
      </c>
      <c r="D128">
        <v>7</v>
      </c>
      <c r="E128">
        <v>2567.84</v>
      </c>
      <c r="F128" s="1" t="s">
        <v>180</v>
      </c>
      <c r="G128" t="s">
        <v>92</v>
      </c>
      <c r="H128">
        <v>50</v>
      </c>
      <c r="I128" t="s">
        <v>124</v>
      </c>
      <c r="J128" t="s">
        <v>47</v>
      </c>
      <c r="K128" t="s">
        <v>48</v>
      </c>
      <c r="L128" t="s">
        <v>49</v>
      </c>
      <c r="M128" t="s">
        <v>50</v>
      </c>
      <c r="N128" t="s">
        <v>51</v>
      </c>
      <c r="O128" t="s">
        <v>52</v>
      </c>
      <c r="P128">
        <v>2067</v>
      </c>
      <c r="Q128" t="s">
        <v>36</v>
      </c>
      <c r="R128" t="s">
        <v>37</v>
      </c>
      <c r="S128" t="s">
        <v>53</v>
      </c>
      <c r="T128" t="s">
        <v>54</v>
      </c>
      <c r="U128" t="s">
        <v>27</v>
      </c>
    </row>
    <row r="129" spans="1:21" x14ac:dyDescent="0.3">
      <c r="A129">
        <v>10324</v>
      </c>
      <c r="B129">
        <v>38</v>
      </c>
      <c r="C129">
        <v>100</v>
      </c>
      <c r="D129">
        <v>6</v>
      </c>
      <c r="E129">
        <v>6832.02</v>
      </c>
      <c r="F129" s="1">
        <v>38118</v>
      </c>
      <c r="G129" t="s">
        <v>92</v>
      </c>
      <c r="H129">
        <v>50</v>
      </c>
      <c r="I129" t="s">
        <v>124</v>
      </c>
      <c r="J129" t="s">
        <v>40</v>
      </c>
      <c r="K129">
        <v>2125551500</v>
      </c>
      <c r="L129" t="s">
        <v>41</v>
      </c>
      <c r="M129" t="s">
        <v>42</v>
      </c>
      <c r="N129" t="s">
        <v>23</v>
      </c>
      <c r="O129" t="s">
        <v>24</v>
      </c>
      <c r="P129">
        <v>10022</v>
      </c>
      <c r="Q129" t="s">
        <v>25</v>
      </c>
      <c r="R129" t="s">
        <v>26</v>
      </c>
      <c r="S129" t="s">
        <v>43</v>
      </c>
      <c r="T129" t="s">
        <v>44</v>
      </c>
      <c r="U129" t="s">
        <v>28</v>
      </c>
    </row>
    <row r="130" spans="1:21" x14ac:dyDescent="0.3">
      <c r="A130">
        <v>10370</v>
      </c>
      <c r="B130">
        <v>20</v>
      </c>
      <c r="C130">
        <v>100</v>
      </c>
      <c r="D130">
        <v>2</v>
      </c>
      <c r="E130">
        <v>2730</v>
      </c>
      <c r="F130" s="1" t="s">
        <v>184</v>
      </c>
      <c r="G130" t="s">
        <v>92</v>
      </c>
      <c r="H130">
        <v>50</v>
      </c>
      <c r="I130" t="s">
        <v>124</v>
      </c>
      <c r="J130" t="s">
        <v>61</v>
      </c>
      <c r="K130" t="s">
        <v>62</v>
      </c>
      <c r="L130" t="s">
        <v>63</v>
      </c>
      <c r="M130" t="s">
        <v>64</v>
      </c>
      <c r="N130" t="s">
        <v>65</v>
      </c>
      <c r="O130" t="s">
        <v>52</v>
      </c>
      <c r="P130">
        <v>2060</v>
      </c>
      <c r="Q130" t="s">
        <v>36</v>
      </c>
      <c r="R130" t="s">
        <v>37</v>
      </c>
      <c r="S130" t="s">
        <v>66</v>
      </c>
      <c r="T130" t="s">
        <v>67</v>
      </c>
      <c r="U130" t="s">
        <v>27</v>
      </c>
    </row>
    <row r="131" spans="1:21" x14ac:dyDescent="0.3">
      <c r="A131">
        <v>10169</v>
      </c>
      <c r="B131">
        <v>33</v>
      </c>
      <c r="C131">
        <v>100</v>
      </c>
      <c r="D131">
        <v>7</v>
      </c>
      <c r="E131">
        <v>4910.3999999999996</v>
      </c>
      <c r="F131" s="1">
        <v>37722</v>
      </c>
      <c r="G131" t="s">
        <v>55</v>
      </c>
      <c r="H131">
        <v>148</v>
      </c>
      <c r="I131" t="s">
        <v>125</v>
      </c>
      <c r="J131" t="s">
        <v>61</v>
      </c>
      <c r="K131" t="s">
        <v>62</v>
      </c>
      <c r="L131" t="s">
        <v>63</v>
      </c>
      <c r="M131" t="s">
        <v>64</v>
      </c>
      <c r="N131" t="s">
        <v>65</v>
      </c>
      <c r="O131" t="s">
        <v>52</v>
      </c>
      <c r="P131">
        <v>2060</v>
      </c>
      <c r="Q131" t="s">
        <v>36</v>
      </c>
      <c r="R131" t="s">
        <v>37</v>
      </c>
      <c r="S131" t="s">
        <v>66</v>
      </c>
      <c r="T131" t="s">
        <v>67</v>
      </c>
      <c r="U131" t="s">
        <v>28</v>
      </c>
    </row>
    <row r="132" spans="1:21" x14ac:dyDescent="0.3">
      <c r="A132">
        <v>10319</v>
      </c>
      <c r="B132">
        <v>45</v>
      </c>
      <c r="C132">
        <v>100</v>
      </c>
      <c r="D132">
        <v>3</v>
      </c>
      <c r="E132">
        <v>7901.1</v>
      </c>
      <c r="F132" s="1">
        <v>38057</v>
      </c>
      <c r="G132" t="s">
        <v>55</v>
      </c>
      <c r="H132">
        <v>148</v>
      </c>
      <c r="I132" t="s">
        <v>125</v>
      </c>
      <c r="J132" t="s">
        <v>81</v>
      </c>
      <c r="K132">
        <v>2125551957</v>
      </c>
      <c r="L132" t="s">
        <v>82</v>
      </c>
      <c r="M132" t="s">
        <v>83</v>
      </c>
      <c r="N132" t="s">
        <v>23</v>
      </c>
      <c r="O132" t="s">
        <v>24</v>
      </c>
      <c r="P132">
        <v>10022</v>
      </c>
      <c r="Q132" t="s">
        <v>25</v>
      </c>
      <c r="R132" t="s">
        <v>26</v>
      </c>
      <c r="S132" t="s">
        <v>84</v>
      </c>
      <c r="T132" t="s">
        <v>85</v>
      </c>
      <c r="U132" t="s">
        <v>46</v>
      </c>
    </row>
    <row r="133" spans="1:21" x14ac:dyDescent="0.3">
      <c r="A133">
        <v>10342</v>
      </c>
      <c r="B133">
        <v>38</v>
      </c>
      <c r="C133">
        <v>100</v>
      </c>
      <c r="D133">
        <v>11</v>
      </c>
      <c r="E133">
        <v>6276.46</v>
      </c>
      <c r="F133" s="1" t="s">
        <v>185</v>
      </c>
      <c r="G133" t="s">
        <v>55</v>
      </c>
      <c r="H133">
        <v>148</v>
      </c>
      <c r="I133" t="s">
        <v>125</v>
      </c>
      <c r="J133" t="s">
        <v>30</v>
      </c>
      <c r="K133" t="s">
        <v>31</v>
      </c>
      <c r="L133" t="s">
        <v>32</v>
      </c>
      <c r="M133" t="s">
        <v>33</v>
      </c>
      <c r="N133" t="s">
        <v>34</v>
      </c>
      <c r="O133" t="s">
        <v>35</v>
      </c>
      <c r="P133">
        <v>3004</v>
      </c>
      <c r="Q133" t="s">
        <v>36</v>
      </c>
      <c r="R133" t="s">
        <v>37</v>
      </c>
      <c r="S133" t="s">
        <v>38</v>
      </c>
      <c r="T133" t="s">
        <v>39</v>
      </c>
      <c r="U133" t="s">
        <v>28</v>
      </c>
    </row>
    <row r="134" spans="1:21" x14ac:dyDescent="0.3">
      <c r="A134">
        <v>10148</v>
      </c>
      <c r="B134">
        <v>29</v>
      </c>
      <c r="C134">
        <v>81.25</v>
      </c>
      <c r="D134">
        <v>2</v>
      </c>
      <c r="E134">
        <v>2356.25</v>
      </c>
      <c r="F134" s="1">
        <v>37934</v>
      </c>
      <c r="G134" t="s">
        <v>55</v>
      </c>
      <c r="H134">
        <v>71</v>
      </c>
      <c r="I134" t="s">
        <v>126</v>
      </c>
      <c r="J134" t="s">
        <v>61</v>
      </c>
      <c r="K134" t="s">
        <v>62</v>
      </c>
      <c r="L134" t="s">
        <v>63</v>
      </c>
      <c r="M134" t="s">
        <v>64</v>
      </c>
      <c r="N134" t="s">
        <v>65</v>
      </c>
      <c r="O134" t="s">
        <v>52</v>
      </c>
      <c r="P134">
        <v>2060</v>
      </c>
      <c r="Q134" t="s">
        <v>36</v>
      </c>
      <c r="R134" t="s">
        <v>37</v>
      </c>
      <c r="S134" t="s">
        <v>66</v>
      </c>
      <c r="T134" t="s">
        <v>67</v>
      </c>
      <c r="U134" t="s">
        <v>27</v>
      </c>
    </row>
    <row r="135" spans="1:21" x14ac:dyDescent="0.3">
      <c r="A135">
        <v>10204</v>
      </c>
      <c r="B135">
        <v>45</v>
      </c>
      <c r="C135">
        <v>76.260000000000005</v>
      </c>
      <c r="D135">
        <v>6</v>
      </c>
      <c r="E135">
        <v>3431.7</v>
      </c>
      <c r="F135" s="1">
        <v>37664</v>
      </c>
      <c r="G135" t="s">
        <v>55</v>
      </c>
      <c r="H135">
        <v>71</v>
      </c>
      <c r="I135" t="s">
        <v>126</v>
      </c>
      <c r="J135" t="s">
        <v>74</v>
      </c>
      <c r="K135">
        <v>2125557413</v>
      </c>
      <c r="L135" t="s">
        <v>75</v>
      </c>
      <c r="M135" t="s">
        <v>76</v>
      </c>
      <c r="N135" t="s">
        <v>23</v>
      </c>
      <c r="O135" t="s">
        <v>24</v>
      </c>
      <c r="P135">
        <v>10022</v>
      </c>
      <c r="Q135" t="s">
        <v>25</v>
      </c>
      <c r="R135" t="s">
        <v>26</v>
      </c>
      <c r="S135" t="s">
        <v>29</v>
      </c>
      <c r="T135" t="s">
        <v>77</v>
      </c>
      <c r="U135" t="s">
        <v>28</v>
      </c>
    </row>
    <row r="136" spans="1:21" x14ac:dyDescent="0.3">
      <c r="A136">
        <v>10267</v>
      </c>
      <c r="B136">
        <v>36</v>
      </c>
      <c r="C136">
        <v>75.55</v>
      </c>
      <c r="D136">
        <v>1</v>
      </c>
      <c r="E136">
        <v>2719.8</v>
      </c>
      <c r="F136" s="1">
        <v>38175</v>
      </c>
      <c r="G136" t="s">
        <v>55</v>
      </c>
      <c r="H136">
        <v>71</v>
      </c>
      <c r="I136" t="s">
        <v>126</v>
      </c>
      <c r="J136" t="s">
        <v>74</v>
      </c>
      <c r="K136">
        <v>2125557413</v>
      </c>
      <c r="L136" t="s">
        <v>75</v>
      </c>
      <c r="M136" t="s">
        <v>76</v>
      </c>
      <c r="N136" t="s">
        <v>23</v>
      </c>
      <c r="O136" t="s">
        <v>24</v>
      </c>
      <c r="P136">
        <v>10022</v>
      </c>
      <c r="Q136" t="s">
        <v>25</v>
      </c>
      <c r="R136" t="s">
        <v>26</v>
      </c>
      <c r="S136" t="s">
        <v>29</v>
      </c>
      <c r="T136" t="s">
        <v>77</v>
      </c>
      <c r="U136" t="s">
        <v>27</v>
      </c>
    </row>
    <row r="137" spans="1:21" x14ac:dyDescent="0.3">
      <c r="A137">
        <v>10420</v>
      </c>
      <c r="B137">
        <v>36</v>
      </c>
      <c r="C137">
        <v>57.73</v>
      </c>
      <c r="D137">
        <v>7</v>
      </c>
      <c r="E137">
        <v>2078.2800000000002</v>
      </c>
      <c r="F137" s="1" t="s">
        <v>188</v>
      </c>
      <c r="G137" t="s">
        <v>55</v>
      </c>
      <c r="H137">
        <v>71</v>
      </c>
      <c r="I137" t="s">
        <v>126</v>
      </c>
      <c r="J137" t="s">
        <v>47</v>
      </c>
      <c r="K137" t="s">
        <v>48</v>
      </c>
      <c r="L137" t="s">
        <v>49</v>
      </c>
      <c r="M137" t="s">
        <v>50</v>
      </c>
      <c r="N137" t="s">
        <v>51</v>
      </c>
      <c r="O137" t="s">
        <v>52</v>
      </c>
      <c r="P137">
        <v>2067</v>
      </c>
      <c r="Q137" t="s">
        <v>36</v>
      </c>
      <c r="R137" t="s">
        <v>37</v>
      </c>
      <c r="S137" t="s">
        <v>53</v>
      </c>
      <c r="T137" t="s">
        <v>54</v>
      </c>
      <c r="U137" t="s">
        <v>27</v>
      </c>
    </row>
    <row r="138" spans="1:21" x14ac:dyDescent="0.3">
      <c r="A138">
        <v>10148</v>
      </c>
      <c r="B138">
        <v>25</v>
      </c>
      <c r="C138">
        <v>60.26</v>
      </c>
      <c r="D138">
        <v>6</v>
      </c>
      <c r="E138">
        <v>1506.5</v>
      </c>
      <c r="F138" s="1">
        <v>37934</v>
      </c>
      <c r="G138" t="s">
        <v>55</v>
      </c>
      <c r="H138">
        <v>73</v>
      </c>
      <c r="I138" t="s">
        <v>127</v>
      </c>
      <c r="J138" t="s">
        <v>61</v>
      </c>
      <c r="K138" t="s">
        <v>62</v>
      </c>
      <c r="L138" t="s">
        <v>63</v>
      </c>
      <c r="M138" t="s">
        <v>64</v>
      </c>
      <c r="N138" t="s">
        <v>65</v>
      </c>
      <c r="O138" t="s">
        <v>52</v>
      </c>
      <c r="P138">
        <v>2060</v>
      </c>
      <c r="Q138" t="s">
        <v>36</v>
      </c>
      <c r="R138" t="s">
        <v>37</v>
      </c>
      <c r="S138" t="s">
        <v>66</v>
      </c>
      <c r="T138" t="s">
        <v>67</v>
      </c>
      <c r="U138" t="s">
        <v>27</v>
      </c>
    </row>
    <row r="139" spans="1:21" x14ac:dyDescent="0.3">
      <c r="A139">
        <v>10204</v>
      </c>
      <c r="B139">
        <v>20</v>
      </c>
      <c r="C139">
        <v>62.47</v>
      </c>
      <c r="D139">
        <v>10</v>
      </c>
      <c r="E139">
        <v>1249.4000000000001</v>
      </c>
      <c r="F139" s="1">
        <v>37664</v>
      </c>
      <c r="G139" t="s">
        <v>55</v>
      </c>
      <c r="H139">
        <v>73</v>
      </c>
      <c r="I139" t="s">
        <v>127</v>
      </c>
      <c r="J139" t="s">
        <v>74</v>
      </c>
      <c r="K139">
        <v>2125557413</v>
      </c>
      <c r="L139" t="s">
        <v>75</v>
      </c>
      <c r="M139" t="s">
        <v>76</v>
      </c>
      <c r="N139" t="s">
        <v>23</v>
      </c>
      <c r="O139" t="s">
        <v>24</v>
      </c>
      <c r="P139">
        <v>10022</v>
      </c>
      <c r="Q139" t="s">
        <v>25</v>
      </c>
      <c r="R139" t="s">
        <v>26</v>
      </c>
      <c r="S139" t="s">
        <v>29</v>
      </c>
      <c r="T139" t="s">
        <v>77</v>
      </c>
      <c r="U139" t="s">
        <v>27</v>
      </c>
    </row>
    <row r="140" spans="1:21" x14ac:dyDescent="0.3">
      <c r="A140">
        <v>10267</v>
      </c>
      <c r="B140">
        <v>40</v>
      </c>
      <c r="C140">
        <v>80.099999999999994</v>
      </c>
      <c r="D140">
        <v>5</v>
      </c>
      <c r="E140">
        <v>3204</v>
      </c>
      <c r="F140" s="1">
        <v>38175</v>
      </c>
      <c r="G140" t="s">
        <v>55</v>
      </c>
      <c r="H140">
        <v>73</v>
      </c>
      <c r="I140" t="s">
        <v>127</v>
      </c>
      <c r="J140" t="s">
        <v>74</v>
      </c>
      <c r="K140">
        <v>2125557413</v>
      </c>
      <c r="L140" t="s">
        <v>75</v>
      </c>
      <c r="M140" t="s">
        <v>76</v>
      </c>
      <c r="N140" t="s">
        <v>23</v>
      </c>
      <c r="O140" t="s">
        <v>24</v>
      </c>
      <c r="P140">
        <v>10022</v>
      </c>
      <c r="Q140" t="s">
        <v>25</v>
      </c>
      <c r="R140" t="s">
        <v>26</v>
      </c>
      <c r="S140" t="s">
        <v>29</v>
      </c>
      <c r="T140" t="s">
        <v>77</v>
      </c>
      <c r="U140" t="s">
        <v>28</v>
      </c>
    </row>
    <row r="141" spans="1:21" x14ac:dyDescent="0.3">
      <c r="A141">
        <v>10420</v>
      </c>
      <c r="B141">
        <v>60</v>
      </c>
      <c r="C141">
        <v>64.67</v>
      </c>
      <c r="D141">
        <v>11</v>
      </c>
      <c r="E141">
        <v>3880.2</v>
      </c>
      <c r="F141" s="1" t="s">
        <v>188</v>
      </c>
      <c r="G141" t="s">
        <v>55</v>
      </c>
      <c r="H141">
        <v>73</v>
      </c>
      <c r="I141" t="s">
        <v>127</v>
      </c>
      <c r="J141" t="s">
        <v>47</v>
      </c>
      <c r="K141" t="s">
        <v>48</v>
      </c>
      <c r="L141" t="s">
        <v>49</v>
      </c>
      <c r="M141" t="s">
        <v>50</v>
      </c>
      <c r="N141" t="s">
        <v>51</v>
      </c>
      <c r="O141" t="s">
        <v>52</v>
      </c>
      <c r="P141">
        <v>2067</v>
      </c>
      <c r="Q141" t="s">
        <v>36</v>
      </c>
      <c r="R141" t="s">
        <v>37</v>
      </c>
      <c r="S141" t="s">
        <v>53</v>
      </c>
      <c r="T141" t="s">
        <v>54</v>
      </c>
      <c r="U141" t="s">
        <v>28</v>
      </c>
    </row>
    <row r="142" spans="1:21" x14ac:dyDescent="0.3">
      <c r="A142">
        <v>10115</v>
      </c>
      <c r="B142">
        <v>47</v>
      </c>
      <c r="C142">
        <v>69.36</v>
      </c>
      <c r="D142">
        <v>2</v>
      </c>
      <c r="E142">
        <v>3259.92</v>
      </c>
      <c r="F142" s="1">
        <v>37715</v>
      </c>
      <c r="G142" t="s">
        <v>55</v>
      </c>
      <c r="H142">
        <v>57</v>
      </c>
      <c r="I142" t="s">
        <v>128</v>
      </c>
      <c r="J142" t="s">
        <v>57</v>
      </c>
      <c r="K142">
        <v>2125558493</v>
      </c>
      <c r="L142" t="s">
        <v>58</v>
      </c>
      <c r="M142" t="s">
        <v>59</v>
      </c>
      <c r="N142" t="s">
        <v>23</v>
      </c>
      <c r="O142" t="s">
        <v>24</v>
      </c>
      <c r="P142">
        <v>10022</v>
      </c>
      <c r="Q142" t="s">
        <v>25</v>
      </c>
      <c r="R142" t="s">
        <v>26</v>
      </c>
      <c r="S142" t="s">
        <v>45</v>
      </c>
      <c r="T142" t="s">
        <v>60</v>
      </c>
      <c r="U142" t="s">
        <v>28</v>
      </c>
    </row>
    <row r="143" spans="1:21" x14ac:dyDescent="0.3">
      <c r="A143">
        <v>10127</v>
      </c>
      <c r="B143">
        <v>20</v>
      </c>
      <c r="C143">
        <v>60.69</v>
      </c>
      <c r="D143">
        <v>8</v>
      </c>
      <c r="E143">
        <v>1213.8</v>
      </c>
      <c r="F143" s="1">
        <v>37686</v>
      </c>
      <c r="G143" t="s">
        <v>55</v>
      </c>
      <c r="H143">
        <v>57</v>
      </c>
      <c r="I143" t="s">
        <v>128</v>
      </c>
      <c r="J143" t="s">
        <v>74</v>
      </c>
      <c r="K143">
        <v>2125557413</v>
      </c>
      <c r="L143" t="s">
        <v>75</v>
      </c>
      <c r="M143" t="s">
        <v>76</v>
      </c>
      <c r="N143" t="s">
        <v>23</v>
      </c>
      <c r="O143" t="s">
        <v>24</v>
      </c>
      <c r="P143">
        <v>10022</v>
      </c>
      <c r="Q143" t="s">
        <v>25</v>
      </c>
      <c r="R143" t="s">
        <v>26</v>
      </c>
      <c r="S143" t="s">
        <v>29</v>
      </c>
      <c r="T143" t="s">
        <v>77</v>
      </c>
      <c r="U143" t="s">
        <v>27</v>
      </c>
    </row>
    <row r="144" spans="1:21" x14ac:dyDescent="0.3">
      <c r="A144">
        <v>10324</v>
      </c>
      <c r="B144">
        <v>25</v>
      </c>
      <c r="C144">
        <v>69.16</v>
      </c>
      <c r="D144">
        <v>14</v>
      </c>
      <c r="E144">
        <v>1729</v>
      </c>
      <c r="F144" s="1">
        <v>38118</v>
      </c>
      <c r="G144" t="s">
        <v>55</v>
      </c>
      <c r="H144">
        <v>57</v>
      </c>
      <c r="I144" t="s">
        <v>128</v>
      </c>
      <c r="J144" t="s">
        <v>40</v>
      </c>
      <c r="K144">
        <v>2125551500</v>
      </c>
      <c r="L144" t="s">
        <v>41</v>
      </c>
      <c r="M144" t="s">
        <v>42</v>
      </c>
      <c r="N144" t="s">
        <v>23</v>
      </c>
      <c r="O144" t="s">
        <v>24</v>
      </c>
      <c r="P144">
        <v>10022</v>
      </c>
      <c r="Q144" t="s">
        <v>25</v>
      </c>
      <c r="R144" t="s">
        <v>26</v>
      </c>
      <c r="S144" t="s">
        <v>43</v>
      </c>
      <c r="T144" t="s">
        <v>44</v>
      </c>
      <c r="U144" t="s">
        <v>27</v>
      </c>
    </row>
    <row r="145" spans="1:21" x14ac:dyDescent="0.3">
      <c r="A145">
        <v>10349</v>
      </c>
      <c r="B145">
        <v>48</v>
      </c>
      <c r="C145">
        <v>47.4</v>
      </c>
      <c r="D145">
        <v>4</v>
      </c>
      <c r="E145">
        <v>2275.1999999999998</v>
      </c>
      <c r="F145" s="1">
        <v>37998</v>
      </c>
      <c r="G145" t="s">
        <v>55</v>
      </c>
      <c r="H145">
        <v>57</v>
      </c>
      <c r="I145" t="s">
        <v>128</v>
      </c>
      <c r="J145" t="s">
        <v>74</v>
      </c>
      <c r="K145">
        <v>2125557413</v>
      </c>
      <c r="L145" t="s">
        <v>75</v>
      </c>
      <c r="M145" t="s">
        <v>76</v>
      </c>
      <c r="N145" t="s">
        <v>23</v>
      </c>
      <c r="O145" t="s">
        <v>24</v>
      </c>
      <c r="P145">
        <v>10022</v>
      </c>
      <c r="Q145" t="s">
        <v>25</v>
      </c>
      <c r="R145" t="s">
        <v>26</v>
      </c>
      <c r="S145" t="s">
        <v>29</v>
      </c>
      <c r="T145" t="s">
        <v>77</v>
      </c>
      <c r="U145" t="s">
        <v>27</v>
      </c>
    </row>
    <row r="146" spans="1:21" x14ac:dyDescent="0.3">
      <c r="A146">
        <v>10120</v>
      </c>
      <c r="B146">
        <v>35</v>
      </c>
      <c r="C146">
        <v>98.05</v>
      </c>
      <c r="D146">
        <v>1</v>
      </c>
      <c r="E146">
        <v>3431.75</v>
      </c>
      <c r="F146" s="1" t="s">
        <v>182</v>
      </c>
      <c r="G146" t="s">
        <v>21</v>
      </c>
      <c r="H146">
        <v>112</v>
      </c>
      <c r="I146" t="s">
        <v>129</v>
      </c>
      <c r="J146" t="s">
        <v>30</v>
      </c>
      <c r="K146" t="s">
        <v>31</v>
      </c>
      <c r="L146" t="s">
        <v>32</v>
      </c>
      <c r="M146" t="s">
        <v>33</v>
      </c>
      <c r="N146" t="s">
        <v>34</v>
      </c>
      <c r="O146" t="s">
        <v>35</v>
      </c>
      <c r="P146">
        <v>3004</v>
      </c>
      <c r="Q146" t="s">
        <v>36</v>
      </c>
      <c r="R146" t="s">
        <v>37</v>
      </c>
      <c r="S146" t="s">
        <v>38</v>
      </c>
      <c r="T146" t="s">
        <v>39</v>
      </c>
      <c r="U146" t="s">
        <v>28</v>
      </c>
    </row>
    <row r="147" spans="1:21" x14ac:dyDescent="0.3">
      <c r="A147">
        <v>10223</v>
      </c>
      <c r="B147">
        <v>32</v>
      </c>
      <c r="C147">
        <v>91.29</v>
      </c>
      <c r="D147">
        <v>2</v>
      </c>
      <c r="E147">
        <v>2921.28</v>
      </c>
      <c r="F147" s="1" t="s">
        <v>177</v>
      </c>
      <c r="G147" t="s">
        <v>21</v>
      </c>
      <c r="H147">
        <v>112</v>
      </c>
      <c r="I147" t="s">
        <v>129</v>
      </c>
      <c r="J147" t="s">
        <v>30</v>
      </c>
      <c r="K147" t="s">
        <v>31</v>
      </c>
      <c r="L147" t="s">
        <v>32</v>
      </c>
      <c r="M147" t="s">
        <v>33</v>
      </c>
      <c r="N147" t="s">
        <v>34</v>
      </c>
      <c r="O147" t="s">
        <v>35</v>
      </c>
      <c r="P147">
        <v>3004</v>
      </c>
      <c r="Q147" t="s">
        <v>36</v>
      </c>
      <c r="R147" t="s">
        <v>37</v>
      </c>
      <c r="S147" t="s">
        <v>38</v>
      </c>
      <c r="T147" t="s">
        <v>39</v>
      </c>
      <c r="U147" t="s">
        <v>27</v>
      </c>
    </row>
    <row r="148" spans="1:21" x14ac:dyDescent="0.3">
      <c r="A148">
        <v>10237</v>
      </c>
      <c r="B148">
        <v>20</v>
      </c>
      <c r="C148">
        <v>100</v>
      </c>
      <c r="D148">
        <v>8</v>
      </c>
      <c r="E148">
        <v>2299</v>
      </c>
      <c r="F148" s="1">
        <v>38111</v>
      </c>
      <c r="G148" t="s">
        <v>21</v>
      </c>
      <c r="H148">
        <v>112</v>
      </c>
      <c r="I148" t="s">
        <v>129</v>
      </c>
      <c r="J148" t="s">
        <v>40</v>
      </c>
      <c r="K148">
        <v>2125551500</v>
      </c>
      <c r="L148" t="s">
        <v>41</v>
      </c>
      <c r="M148" t="s">
        <v>42</v>
      </c>
      <c r="N148" t="s">
        <v>23</v>
      </c>
      <c r="O148" t="s">
        <v>24</v>
      </c>
      <c r="P148">
        <v>10022</v>
      </c>
      <c r="Q148" t="s">
        <v>25</v>
      </c>
      <c r="R148" t="s">
        <v>26</v>
      </c>
      <c r="S148" t="s">
        <v>43</v>
      </c>
      <c r="T148" t="s">
        <v>44</v>
      </c>
      <c r="U148" t="s">
        <v>27</v>
      </c>
    </row>
    <row r="149" spans="1:21" x14ac:dyDescent="0.3">
      <c r="A149">
        <v>10148</v>
      </c>
      <c r="B149">
        <v>47</v>
      </c>
      <c r="C149">
        <v>56.85</v>
      </c>
      <c r="D149">
        <v>8</v>
      </c>
      <c r="E149">
        <v>2671.95</v>
      </c>
      <c r="F149" s="1">
        <v>37934</v>
      </c>
      <c r="G149" t="s">
        <v>55</v>
      </c>
      <c r="H149">
        <v>50</v>
      </c>
      <c r="I149" t="s">
        <v>130</v>
      </c>
      <c r="J149" t="s">
        <v>61</v>
      </c>
      <c r="K149" t="s">
        <v>62</v>
      </c>
      <c r="L149" t="s">
        <v>63</v>
      </c>
      <c r="M149" t="s">
        <v>64</v>
      </c>
      <c r="N149" t="s">
        <v>65</v>
      </c>
      <c r="O149" t="s">
        <v>52</v>
      </c>
      <c r="P149">
        <v>2060</v>
      </c>
      <c r="Q149" t="s">
        <v>36</v>
      </c>
      <c r="R149" t="s">
        <v>37</v>
      </c>
      <c r="S149" t="s">
        <v>66</v>
      </c>
      <c r="T149" t="s">
        <v>67</v>
      </c>
      <c r="U149" t="s">
        <v>27</v>
      </c>
    </row>
    <row r="150" spans="1:21" x14ac:dyDescent="0.3">
      <c r="A150">
        <v>10204</v>
      </c>
      <c r="B150">
        <v>45</v>
      </c>
      <c r="C150">
        <v>49.81</v>
      </c>
      <c r="D150">
        <v>12</v>
      </c>
      <c r="E150">
        <v>2241.4499999999998</v>
      </c>
      <c r="F150" s="1">
        <v>37664</v>
      </c>
      <c r="G150" t="s">
        <v>55</v>
      </c>
      <c r="H150">
        <v>50</v>
      </c>
      <c r="I150" t="s">
        <v>130</v>
      </c>
      <c r="J150" t="s">
        <v>74</v>
      </c>
      <c r="K150">
        <v>2125557413</v>
      </c>
      <c r="L150" t="s">
        <v>75</v>
      </c>
      <c r="M150" t="s">
        <v>76</v>
      </c>
      <c r="N150" t="s">
        <v>23</v>
      </c>
      <c r="O150" t="s">
        <v>24</v>
      </c>
      <c r="P150">
        <v>10022</v>
      </c>
      <c r="Q150" t="s">
        <v>25</v>
      </c>
      <c r="R150" t="s">
        <v>26</v>
      </c>
      <c r="S150" t="s">
        <v>29</v>
      </c>
      <c r="T150" t="s">
        <v>77</v>
      </c>
      <c r="U150" t="s">
        <v>27</v>
      </c>
    </row>
    <row r="151" spans="1:21" x14ac:dyDescent="0.3">
      <c r="A151">
        <v>10420</v>
      </c>
      <c r="B151">
        <v>37</v>
      </c>
      <c r="C151">
        <v>60.37</v>
      </c>
      <c r="D151">
        <v>13</v>
      </c>
      <c r="E151">
        <v>2233.69</v>
      </c>
      <c r="F151" s="1" t="s">
        <v>188</v>
      </c>
      <c r="G151" t="s">
        <v>55</v>
      </c>
      <c r="H151">
        <v>50</v>
      </c>
      <c r="I151" t="s">
        <v>130</v>
      </c>
      <c r="J151" t="s">
        <v>47</v>
      </c>
      <c r="K151" t="s">
        <v>48</v>
      </c>
      <c r="L151" t="s">
        <v>49</v>
      </c>
      <c r="M151" t="s">
        <v>50</v>
      </c>
      <c r="N151" t="s">
        <v>51</v>
      </c>
      <c r="O151" t="s">
        <v>52</v>
      </c>
      <c r="P151">
        <v>2067</v>
      </c>
      <c r="Q151" t="s">
        <v>36</v>
      </c>
      <c r="R151" t="s">
        <v>37</v>
      </c>
      <c r="S151" t="s">
        <v>53</v>
      </c>
      <c r="T151" t="s">
        <v>54</v>
      </c>
      <c r="U151" t="s">
        <v>27</v>
      </c>
    </row>
    <row r="152" spans="1:21" x14ac:dyDescent="0.3">
      <c r="A152">
        <v>10120</v>
      </c>
      <c r="B152">
        <v>39</v>
      </c>
      <c r="C152">
        <v>100</v>
      </c>
      <c r="D152">
        <v>10</v>
      </c>
      <c r="E152">
        <v>4651.53</v>
      </c>
      <c r="F152" s="1" t="s">
        <v>182</v>
      </c>
      <c r="G152" t="s">
        <v>96</v>
      </c>
      <c r="H152">
        <v>109</v>
      </c>
      <c r="I152" t="s">
        <v>131</v>
      </c>
      <c r="J152" t="s">
        <v>30</v>
      </c>
      <c r="K152" t="s">
        <v>31</v>
      </c>
      <c r="L152" t="s">
        <v>32</v>
      </c>
      <c r="M152" t="s">
        <v>33</v>
      </c>
      <c r="N152" t="s">
        <v>34</v>
      </c>
      <c r="O152" t="s">
        <v>35</v>
      </c>
      <c r="P152">
        <v>3004</v>
      </c>
      <c r="Q152" t="s">
        <v>36</v>
      </c>
      <c r="R152" t="s">
        <v>37</v>
      </c>
      <c r="S152" t="s">
        <v>38</v>
      </c>
      <c r="T152" t="s">
        <v>39</v>
      </c>
      <c r="U152" t="s">
        <v>28</v>
      </c>
    </row>
    <row r="153" spans="1:21" x14ac:dyDescent="0.3">
      <c r="A153">
        <v>10223</v>
      </c>
      <c r="B153">
        <v>34</v>
      </c>
      <c r="C153">
        <v>100</v>
      </c>
      <c r="D153">
        <v>11</v>
      </c>
      <c r="E153">
        <v>3608.76</v>
      </c>
      <c r="F153" s="1" t="s">
        <v>177</v>
      </c>
      <c r="G153" t="s">
        <v>96</v>
      </c>
      <c r="H153">
        <v>109</v>
      </c>
      <c r="I153" t="s">
        <v>131</v>
      </c>
      <c r="J153" t="s">
        <v>30</v>
      </c>
      <c r="K153" t="s">
        <v>31</v>
      </c>
      <c r="L153" t="s">
        <v>32</v>
      </c>
      <c r="M153" t="s">
        <v>33</v>
      </c>
      <c r="N153" t="s">
        <v>34</v>
      </c>
      <c r="O153" t="s">
        <v>35</v>
      </c>
      <c r="P153">
        <v>3004</v>
      </c>
      <c r="Q153" t="s">
        <v>36</v>
      </c>
      <c r="R153" t="s">
        <v>37</v>
      </c>
      <c r="S153" t="s">
        <v>38</v>
      </c>
      <c r="T153" t="s">
        <v>39</v>
      </c>
      <c r="U153" t="s">
        <v>28</v>
      </c>
    </row>
    <row r="154" spans="1:21" x14ac:dyDescent="0.3">
      <c r="A154">
        <v>10391</v>
      </c>
      <c r="B154">
        <v>33</v>
      </c>
      <c r="C154">
        <v>100</v>
      </c>
      <c r="D154">
        <v>8</v>
      </c>
      <c r="E154">
        <v>8344.7099999999991</v>
      </c>
      <c r="F154" s="1">
        <v>38598</v>
      </c>
      <c r="G154" t="s">
        <v>92</v>
      </c>
      <c r="H154">
        <v>33</v>
      </c>
      <c r="I154" t="s">
        <v>132</v>
      </c>
      <c r="J154" t="s">
        <v>61</v>
      </c>
      <c r="K154" t="s">
        <v>62</v>
      </c>
      <c r="L154" t="s">
        <v>63</v>
      </c>
      <c r="M154" t="s">
        <v>64</v>
      </c>
      <c r="N154" t="s">
        <v>65</v>
      </c>
      <c r="O154" t="s">
        <v>52</v>
      </c>
      <c r="P154">
        <v>2060</v>
      </c>
      <c r="Q154" t="s">
        <v>36</v>
      </c>
      <c r="R154" t="s">
        <v>37</v>
      </c>
      <c r="S154" t="s">
        <v>66</v>
      </c>
      <c r="T154" t="s">
        <v>67</v>
      </c>
      <c r="U154" t="s">
        <v>46</v>
      </c>
    </row>
    <row r="155" spans="1:21" x14ac:dyDescent="0.3">
      <c r="A155">
        <v>10420</v>
      </c>
      <c r="B155">
        <v>45</v>
      </c>
      <c r="C155">
        <v>26.88</v>
      </c>
      <c r="D155">
        <v>1</v>
      </c>
      <c r="E155">
        <v>1209.5999999999999</v>
      </c>
      <c r="F155" s="1" t="s">
        <v>188</v>
      </c>
      <c r="G155" t="s">
        <v>92</v>
      </c>
      <c r="H155">
        <v>33</v>
      </c>
      <c r="I155" t="s">
        <v>132</v>
      </c>
      <c r="J155" t="s">
        <v>47</v>
      </c>
      <c r="K155" t="s">
        <v>48</v>
      </c>
      <c r="L155" t="s">
        <v>49</v>
      </c>
      <c r="M155" t="s">
        <v>50</v>
      </c>
      <c r="N155" t="s">
        <v>51</v>
      </c>
      <c r="O155" t="s">
        <v>52</v>
      </c>
      <c r="P155">
        <v>2067</v>
      </c>
      <c r="Q155" t="s">
        <v>36</v>
      </c>
      <c r="R155" t="s">
        <v>37</v>
      </c>
      <c r="S155" t="s">
        <v>53</v>
      </c>
      <c r="T155" t="s">
        <v>54</v>
      </c>
      <c r="U155" t="s">
        <v>27</v>
      </c>
    </row>
    <row r="156" spans="1:21" x14ac:dyDescent="0.3">
      <c r="A156">
        <v>10120</v>
      </c>
      <c r="B156">
        <v>34</v>
      </c>
      <c r="C156">
        <v>83.79</v>
      </c>
      <c r="D156">
        <v>5</v>
      </c>
      <c r="E156">
        <v>2848.86</v>
      </c>
      <c r="F156" s="1" t="s">
        <v>182</v>
      </c>
      <c r="G156" t="s">
        <v>21</v>
      </c>
      <c r="H156">
        <v>76</v>
      </c>
      <c r="I156" t="s">
        <v>133</v>
      </c>
      <c r="J156" t="s">
        <v>30</v>
      </c>
      <c r="K156" t="s">
        <v>31</v>
      </c>
      <c r="L156" t="s">
        <v>32</v>
      </c>
      <c r="M156" t="s">
        <v>33</v>
      </c>
      <c r="N156" t="s">
        <v>34</v>
      </c>
      <c r="O156" t="s">
        <v>35</v>
      </c>
      <c r="P156">
        <v>3004</v>
      </c>
      <c r="Q156" t="s">
        <v>36</v>
      </c>
      <c r="R156" t="s">
        <v>37</v>
      </c>
      <c r="S156" t="s">
        <v>38</v>
      </c>
      <c r="T156" t="s">
        <v>39</v>
      </c>
      <c r="U156" t="s">
        <v>27</v>
      </c>
    </row>
    <row r="157" spans="1:21" x14ac:dyDescent="0.3">
      <c r="A157">
        <v>10223</v>
      </c>
      <c r="B157">
        <v>38</v>
      </c>
      <c r="C157">
        <v>69.31</v>
      </c>
      <c r="D157">
        <v>6</v>
      </c>
      <c r="E157">
        <v>2633.78</v>
      </c>
      <c r="F157" s="1" t="s">
        <v>177</v>
      </c>
      <c r="G157" t="s">
        <v>21</v>
      </c>
      <c r="H157">
        <v>76</v>
      </c>
      <c r="I157" t="s">
        <v>133</v>
      </c>
      <c r="J157" t="s">
        <v>30</v>
      </c>
      <c r="K157" t="s">
        <v>31</v>
      </c>
      <c r="L157" t="s">
        <v>32</v>
      </c>
      <c r="M157" t="s">
        <v>33</v>
      </c>
      <c r="N157" t="s">
        <v>34</v>
      </c>
      <c r="O157" t="s">
        <v>35</v>
      </c>
      <c r="P157">
        <v>3004</v>
      </c>
      <c r="Q157" t="s">
        <v>36</v>
      </c>
      <c r="R157" t="s">
        <v>37</v>
      </c>
      <c r="S157" t="s">
        <v>38</v>
      </c>
      <c r="T157" t="s">
        <v>39</v>
      </c>
      <c r="U157" t="s">
        <v>27</v>
      </c>
    </row>
    <row r="158" spans="1:21" x14ac:dyDescent="0.3">
      <c r="A158">
        <v>10337</v>
      </c>
      <c r="B158">
        <v>29</v>
      </c>
      <c r="C158">
        <v>71.97</v>
      </c>
      <c r="D158">
        <v>4</v>
      </c>
      <c r="E158">
        <v>2087.13</v>
      </c>
      <c r="F158" s="1" t="s">
        <v>183</v>
      </c>
      <c r="G158" t="s">
        <v>111</v>
      </c>
      <c r="H158">
        <v>122</v>
      </c>
      <c r="I158" t="s">
        <v>134</v>
      </c>
      <c r="J158" t="s">
        <v>57</v>
      </c>
      <c r="K158">
        <v>2125558493</v>
      </c>
      <c r="L158" t="s">
        <v>58</v>
      </c>
      <c r="M158" t="s">
        <v>59</v>
      </c>
      <c r="N158" t="s">
        <v>23</v>
      </c>
      <c r="O158" t="s">
        <v>24</v>
      </c>
      <c r="P158">
        <v>10022</v>
      </c>
      <c r="Q158" t="s">
        <v>25</v>
      </c>
      <c r="R158" t="s">
        <v>26</v>
      </c>
      <c r="S158" t="s">
        <v>45</v>
      </c>
      <c r="T158" t="s">
        <v>60</v>
      </c>
      <c r="U158" t="s">
        <v>27</v>
      </c>
    </row>
    <row r="159" spans="1:21" x14ac:dyDescent="0.3">
      <c r="A159">
        <v>10391</v>
      </c>
      <c r="B159">
        <v>24</v>
      </c>
      <c r="C159">
        <v>100</v>
      </c>
      <c r="D159">
        <v>1</v>
      </c>
      <c r="E159">
        <v>4042.08</v>
      </c>
      <c r="F159" s="1">
        <v>38598</v>
      </c>
      <c r="G159" t="s">
        <v>92</v>
      </c>
      <c r="H159">
        <v>44</v>
      </c>
      <c r="I159" t="s">
        <v>135</v>
      </c>
      <c r="J159" t="s">
        <v>61</v>
      </c>
      <c r="K159" t="s">
        <v>62</v>
      </c>
      <c r="L159" t="s">
        <v>63</v>
      </c>
      <c r="M159" t="s">
        <v>64</v>
      </c>
      <c r="N159" t="s">
        <v>65</v>
      </c>
      <c r="O159" t="s">
        <v>52</v>
      </c>
      <c r="P159">
        <v>2060</v>
      </c>
      <c r="Q159" t="s">
        <v>36</v>
      </c>
      <c r="R159" t="s">
        <v>37</v>
      </c>
      <c r="S159" t="s">
        <v>66</v>
      </c>
      <c r="T159" t="s">
        <v>67</v>
      </c>
      <c r="U159" t="s">
        <v>28</v>
      </c>
    </row>
    <row r="160" spans="1:21" x14ac:dyDescent="0.3">
      <c r="A160">
        <v>10324</v>
      </c>
      <c r="B160">
        <v>31</v>
      </c>
      <c r="C160">
        <v>100</v>
      </c>
      <c r="D160">
        <v>2</v>
      </c>
      <c r="E160">
        <v>3820.44</v>
      </c>
      <c r="F160" s="1">
        <v>38118</v>
      </c>
      <c r="G160" t="s">
        <v>78</v>
      </c>
      <c r="H160">
        <v>127</v>
      </c>
      <c r="I160" t="s">
        <v>136</v>
      </c>
      <c r="J160" t="s">
        <v>40</v>
      </c>
      <c r="K160">
        <v>2125551500</v>
      </c>
      <c r="L160" t="s">
        <v>41</v>
      </c>
      <c r="M160" t="s">
        <v>42</v>
      </c>
      <c r="N160" t="s">
        <v>23</v>
      </c>
      <c r="O160" t="s">
        <v>24</v>
      </c>
      <c r="P160">
        <v>10022</v>
      </c>
      <c r="Q160" t="s">
        <v>25</v>
      </c>
      <c r="R160" t="s">
        <v>26</v>
      </c>
      <c r="S160" t="s">
        <v>43</v>
      </c>
      <c r="T160" t="s">
        <v>44</v>
      </c>
      <c r="U160" t="s">
        <v>28</v>
      </c>
    </row>
    <row r="161" spans="1:21" x14ac:dyDescent="0.3">
      <c r="A161">
        <v>10169</v>
      </c>
      <c r="B161">
        <v>38</v>
      </c>
      <c r="C161">
        <v>74.11</v>
      </c>
      <c r="D161">
        <v>11</v>
      </c>
      <c r="E161">
        <v>2816.18</v>
      </c>
      <c r="F161" s="1">
        <v>37722</v>
      </c>
      <c r="G161" t="s">
        <v>21</v>
      </c>
      <c r="H161">
        <v>69</v>
      </c>
      <c r="I161" t="s">
        <v>137</v>
      </c>
      <c r="J161" t="s">
        <v>61</v>
      </c>
      <c r="K161" t="s">
        <v>62</v>
      </c>
      <c r="L161" t="s">
        <v>63</v>
      </c>
      <c r="M161" t="s">
        <v>64</v>
      </c>
      <c r="N161" t="s">
        <v>65</v>
      </c>
      <c r="O161" t="s">
        <v>52</v>
      </c>
      <c r="P161">
        <v>2060</v>
      </c>
      <c r="Q161" t="s">
        <v>36</v>
      </c>
      <c r="R161" t="s">
        <v>37</v>
      </c>
      <c r="S161" t="s">
        <v>66</v>
      </c>
      <c r="T161" t="s">
        <v>67</v>
      </c>
      <c r="U161" t="s">
        <v>27</v>
      </c>
    </row>
    <row r="162" spans="1:21" x14ac:dyDescent="0.3">
      <c r="A162">
        <v>10237</v>
      </c>
      <c r="B162">
        <v>26</v>
      </c>
      <c r="C162">
        <v>79.650000000000006</v>
      </c>
      <c r="D162">
        <v>4</v>
      </c>
      <c r="E162">
        <v>2070.9</v>
      </c>
      <c r="F162" s="1">
        <v>38111</v>
      </c>
      <c r="G162" t="s">
        <v>21</v>
      </c>
      <c r="H162">
        <v>69</v>
      </c>
      <c r="I162" t="s">
        <v>137</v>
      </c>
      <c r="J162" t="s">
        <v>40</v>
      </c>
      <c r="K162">
        <v>2125551500</v>
      </c>
      <c r="L162" t="s">
        <v>41</v>
      </c>
      <c r="M162" t="s">
        <v>42</v>
      </c>
      <c r="N162" t="s">
        <v>23</v>
      </c>
      <c r="O162" t="s">
        <v>24</v>
      </c>
      <c r="P162">
        <v>10022</v>
      </c>
      <c r="Q162" t="s">
        <v>25</v>
      </c>
      <c r="R162" t="s">
        <v>26</v>
      </c>
      <c r="S162" t="s">
        <v>43</v>
      </c>
      <c r="T162" t="s">
        <v>44</v>
      </c>
      <c r="U162" t="s">
        <v>27</v>
      </c>
    </row>
    <row r="163" spans="1:21" x14ac:dyDescent="0.3">
      <c r="A163">
        <v>10319</v>
      </c>
      <c r="B163">
        <v>31</v>
      </c>
      <c r="C163">
        <v>81.73</v>
      </c>
      <c r="D163">
        <v>7</v>
      </c>
      <c r="E163">
        <v>2533.63</v>
      </c>
      <c r="F163" s="1">
        <v>38057</v>
      </c>
      <c r="G163" t="s">
        <v>21</v>
      </c>
      <c r="H163">
        <v>69</v>
      </c>
      <c r="I163" t="s">
        <v>137</v>
      </c>
      <c r="J163" t="s">
        <v>81</v>
      </c>
      <c r="K163">
        <v>2125551957</v>
      </c>
      <c r="L163" t="s">
        <v>82</v>
      </c>
      <c r="M163" t="s">
        <v>83</v>
      </c>
      <c r="N163" t="s">
        <v>23</v>
      </c>
      <c r="O163" t="s">
        <v>24</v>
      </c>
      <c r="P163">
        <v>10022</v>
      </c>
      <c r="Q163" t="s">
        <v>25</v>
      </c>
      <c r="R163" t="s">
        <v>26</v>
      </c>
      <c r="S163" t="s">
        <v>84</v>
      </c>
      <c r="T163" t="s">
        <v>85</v>
      </c>
      <c r="U163" t="s">
        <v>27</v>
      </c>
    </row>
    <row r="164" spans="1:21" x14ac:dyDescent="0.3">
      <c r="A164">
        <v>10148</v>
      </c>
      <c r="B164">
        <v>21</v>
      </c>
      <c r="C164">
        <v>73.599999999999994</v>
      </c>
      <c r="D164">
        <v>4</v>
      </c>
      <c r="E164">
        <v>1545.6</v>
      </c>
      <c r="F164" s="1">
        <v>37934</v>
      </c>
      <c r="G164" t="s">
        <v>55</v>
      </c>
      <c r="H164">
        <v>90</v>
      </c>
      <c r="I164" t="s">
        <v>138</v>
      </c>
      <c r="J164" t="s">
        <v>61</v>
      </c>
      <c r="K164" t="s">
        <v>62</v>
      </c>
      <c r="L164" t="s">
        <v>63</v>
      </c>
      <c r="M164" t="s">
        <v>64</v>
      </c>
      <c r="N164" t="s">
        <v>65</v>
      </c>
      <c r="O164" t="s">
        <v>52</v>
      </c>
      <c r="P164">
        <v>2060</v>
      </c>
      <c r="Q164" t="s">
        <v>36</v>
      </c>
      <c r="R164" t="s">
        <v>37</v>
      </c>
      <c r="S164" t="s">
        <v>66</v>
      </c>
      <c r="T164" t="s">
        <v>67</v>
      </c>
      <c r="U164" t="s">
        <v>27</v>
      </c>
    </row>
    <row r="165" spans="1:21" x14ac:dyDescent="0.3">
      <c r="A165">
        <v>10204</v>
      </c>
      <c r="B165">
        <v>47</v>
      </c>
      <c r="C165">
        <v>96.32</v>
      </c>
      <c r="D165">
        <v>8</v>
      </c>
      <c r="E165">
        <v>4527.04</v>
      </c>
      <c r="F165" s="1">
        <v>37664</v>
      </c>
      <c r="G165" t="s">
        <v>55</v>
      </c>
      <c r="H165">
        <v>90</v>
      </c>
      <c r="I165" t="s">
        <v>138</v>
      </c>
      <c r="J165" t="s">
        <v>74</v>
      </c>
      <c r="K165">
        <v>2125557413</v>
      </c>
      <c r="L165" t="s">
        <v>75</v>
      </c>
      <c r="M165" t="s">
        <v>76</v>
      </c>
      <c r="N165" t="s">
        <v>23</v>
      </c>
      <c r="O165" t="s">
        <v>24</v>
      </c>
      <c r="P165">
        <v>10022</v>
      </c>
      <c r="Q165" t="s">
        <v>25</v>
      </c>
      <c r="R165" t="s">
        <v>26</v>
      </c>
      <c r="S165" t="s">
        <v>29</v>
      </c>
      <c r="T165" t="s">
        <v>77</v>
      </c>
      <c r="U165" t="s">
        <v>28</v>
      </c>
    </row>
    <row r="166" spans="1:21" x14ac:dyDescent="0.3">
      <c r="A166">
        <v>10267</v>
      </c>
      <c r="B166">
        <v>38</v>
      </c>
      <c r="C166">
        <v>87.24</v>
      </c>
      <c r="D166">
        <v>3</v>
      </c>
      <c r="E166">
        <v>3315.12</v>
      </c>
      <c r="F166" s="1">
        <v>38175</v>
      </c>
      <c r="G166" t="s">
        <v>55</v>
      </c>
      <c r="H166">
        <v>90</v>
      </c>
      <c r="I166" t="s">
        <v>138</v>
      </c>
      <c r="J166" t="s">
        <v>74</v>
      </c>
      <c r="K166">
        <v>2125557413</v>
      </c>
      <c r="L166" t="s">
        <v>75</v>
      </c>
      <c r="M166" t="s">
        <v>76</v>
      </c>
      <c r="N166" t="s">
        <v>23</v>
      </c>
      <c r="O166" t="s">
        <v>24</v>
      </c>
      <c r="P166">
        <v>10022</v>
      </c>
      <c r="Q166" t="s">
        <v>25</v>
      </c>
      <c r="R166" t="s">
        <v>26</v>
      </c>
      <c r="S166" t="s">
        <v>29</v>
      </c>
      <c r="T166" t="s">
        <v>77</v>
      </c>
      <c r="U166" t="s">
        <v>28</v>
      </c>
    </row>
    <row r="167" spans="1:21" x14ac:dyDescent="0.3">
      <c r="A167">
        <v>10420</v>
      </c>
      <c r="B167">
        <v>39</v>
      </c>
      <c r="C167">
        <v>100</v>
      </c>
      <c r="D167">
        <v>9</v>
      </c>
      <c r="E167">
        <v>3933.93</v>
      </c>
      <c r="F167" s="1" t="s">
        <v>188</v>
      </c>
      <c r="G167" t="s">
        <v>55</v>
      </c>
      <c r="H167">
        <v>90</v>
      </c>
      <c r="I167" t="s">
        <v>138</v>
      </c>
      <c r="J167" t="s">
        <v>47</v>
      </c>
      <c r="K167" t="s">
        <v>48</v>
      </c>
      <c r="L167" t="s">
        <v>49</v>
      </c>
      <c r="M167" t="s">
        <v>50</v>
      </c>
      <c r="N167" t="s">
        <v>51</v>
      </c>
      <c r="O167" t="s">
        <v>52</v>
      </c>
      <c r="P167">
        <v>2067</v>
      </c>
      <c r="Q167" t="s">
        <v>36</v>
      </c>
      <c r="R167" t="s">
        <v>37</v>
      </c>
      <c r="S167" t="s">
        <v>53</v>
      </c>
      <c r="T167" t="s">
        <v>54</v>
      </c>
      <c r="U167" t="s">
        <v>28</v>
      </c>
    </row>
    <row r="168" spans="1:21" x14ac:dyDescent="0.3">
      <c r="A168">
        <v>10127</v>
      </c>
      <c r="B168">
        <v>39</v>
      </c>
      <c r="C168">
        <v>38.19</v>
      </c>
      <c r="D168">
        <v>12</v>
      </c>
      <c r="E168">
        <v>1489.41</v>
      </c>
      <c r="F168" s="1">
        <v>37686</v>
      </c>
      <c r="G168" t="s">
        <v>55</v>
      </c>
      <c r="H168">
        <v>35</v>
      </c>
      <c r="I168" t="s">
        <v>139</v>
      </c>
      <c r="J168" t="s">
        <v>74</v>
      </c>
      <c r="K168">
        <v>2125557413</v>
      </c>
      <c r="L168" t="s">
        <v>75</v>
      </c>
      <c r="M168" t="s">
        <v>76</v>
      </c>
      <c r="N168" t="s">
        <v>23</v>
      </c>
      <c r="O168" t="s">
        <v>24</v>
      </c>
      <c r="P168">
        <v>10022</v>
      </c>
      <c r="Q168" t="s">
        <v>25</v>
      </c>
      <c r="R168" t="s">
        <v>26</v>
      </c>
      <c r="S168" t="s">
        <v>29</v>
      </c>
      <c r="T168" t="s">
        <v>77</v>
      </c>
      <c r="U168" t="s">
        <v>27</v>
      </c>
    </row>
    <row r="169" spans="1:21" x14ac:dyDescent="0.3">
      <c r="A169">
        <v>10324</v>
      </c>
      <c r="B169">
        <v>30</v>
      </c>
      <c r="C169">
        <v>100</v>
      </c>
      <c r="D169">
        <v>9</v>
      </c>
      <c r="E169">
        <v>3338.1</v>
      </c>
      <c r="F169" s="1">
        <v>38118</v>
      </c>
      <c r="G169" t="s">
        <v>55</v>
      </c>
      <c r="H169">
        <v>35</v>
      </c>
      <c r="I169" t="s">
        <v>139</v>
      </c>
      <c r="J169" t="s">
        <v>40</v>
      </c>
      <c r="K169">
        <v>2125551500</v>
      </c>
      <c r="L169" t="s">
        <v>41</v>
      </c>
      <c r="M169" t="s">
        <v>42</v>
      </c>
      <c r="N169" t="s">
        <v>23</v>
      </c>
      <c r="O169" t="s">
        <v>24</v>
      </c>
      <c r="P169">
        <v>10022</v>
      </c>
      <c r="Q169" t="s">
        <v>25</v>
      </c>
      <c r="R169" t="s">
        <v>26</v>
      </c>
      <c r="S169" t="s">
        <v>43</v>
      </c>
      <c r="T169" t="s">
        <v>44</v>
      </c>
      <c r="U169" t="s">
        <v>28</v>
      </c>
    </row>
    <row r="170" spans="1:21" x14ac:dyDescent="0.3">
      <c r="A170">
        <v>10349</v>
      </c>
      <c r="B170">
        <v>36</v>
      </c>
      <c r="C170">
        <v>37.130000000000003</v>
      </c>
      <c r="D170">
        <v>3</v>
      </c>
      <c r="E170">
        <v>1336.68</v>
      </c>
      <c r="F170" s="1">
        <v>37998</v>
      </c>
      <c r="G170" t="s">
        <v>55</v>
      </c>
      <c r="H170">
        <v>35</v>
      </c>
      <c r="I170" t="s">
        <v>139</v>
      </c>
      <c r="J170" t="s">
        <v>74</v>
      </c>
      <c r="K170">
        <v>2125557413</v>
      </c>
      <c r="L170" t="s">
        <v>75</v>
      </c>
      <c r="M170" t="s">
        <v>76</v>
      </c>
      <c r="N170" t="s">
        <v>23</v>
      </c>
      <c r="O170" t="s">
        <v>24</v>
      </c>
      <c r="P170">
        <v>10022</v>
      </c>
      <c r="Q170" t="s">
        <v>25</v>
      </c>
      <c r="R170" t="s">
        <v>26</v>
      </c>
      <c r="S170" t="s">
        <v>29</v>
      </c>
      <c r="T170" t="s">
        <v>77</v>
      </c>
      <c r="U170" t="s">
        <v>27</v>
      </c>
    </row>
    <row r="171" spans="1:21" x14ac:dyDescent="0.3">
      <c r="A171">
        <v>10148</v>
      </c>
      <c r="B171">
        <v>34</v>
      </c>
      <c r="C171">
        <v>100</v>
      </c>
      <c r="D171">
        <v>3</v>
      </c>
      <c r="E171">
        <v>4392.12</v>
      </c>
      <c r="F171" s="1">
        <v>37934</v>
      </c>
      <c r="G171" t="s">
        <v>55</v>
      </c>
      <c r="H171">
        <v>117</v>
      </c>
      <c r="I171" t="s">
        <v>140</v>
      </c>
      <c r="J171" t="s">
        <v>61</v>
      </c>
      <c r="K171" t="s">
        <v>62</v>
      </c>
      <c r="L171" t="s">
        <v>63</v>
      </c>
      <c r="M171" t="s">
        <v>64</v>
      </c>
      <c r="N171" t="s">
        <v>65</v>
      </c>
      <c r="O171" t="s">
        <v>52</v>
      </c>
      <c r="P171">
        <v>2060</v>
      </c>
      <c r="Q171" t="s">
        <v>36</v>
      </c>
      <c r="R171" t="s">
        <v>37</v>
      </c>
      <c r="S171" t="s">
        <v>66</v>
      </c>
      <c r="T171" t="s">
        <v>67</v>
      </c>
      <c r="U171" t="s">
        <v>28</v>
      </c>
    </row>
    <row r="172" spans="1:21" x14ac:dyDescent="0.3">
      <c r="A172">
        <v>10204</v>
      </c>
      <c r="B172">
        <v>42</v>
      </c>
      <c r="C172">
        <v>100</v>
      </c>
      <c r="D172">
        <v>7</v>
      </c>
      <c r="E172">
        <v>4242</v>
      </c>
      <c r="F172" s="1">
        <v>37664</v>
      </c>
      <c r="G172" t="s">
        <v>55</v>
      </c>
      <c r="H172">
        <v>117</v>
      </c>
      <c r="I172" t="s">
        <v>140</v>
      </c>
      <c r="J172" t="s">
        <v>74</v>
      </c>
      <c r="K172">
        <v>2125557413</v>
      </c>
      <c r="L172" t="s">
        <v>75</v>
      </c>
      <c r="M172" t="s">
        <v>76</v>
      </c>
      <c r="N172" t="s">
        <v>23</v>
      </c>
      <c r="O172" t="s">
        <v>24</v>
      </c>
      <c r="P172">
        <v>10022</v>
      </c>
      <c r="Q172" t="s">
        <v>25</v>
      </c>
      <c r="R172" t="s">
        <v>26</v>
      </c>
      <c r="S172" t="s">
        <v>29</v>
      </c>
      <c r="T172" t="s">
        <v>77</v>
      </c>
      <c r="U172" t="s">
        <v>28</v>
      </c>
    </row>
    <row r="173" spans="1:21" x14ac:dyDescent="0.3">
      <c r="A173">
        <v>10267</v>
      </c>
      <c r="B173">
        <v>43</v>
      </c>
      <c r="C173">
        <v>100</v>
      </c>
      <c r="D173">
        <v>2</v>
      </c>
      <c r="E173">
        <v>4645.72</v>
      </c>
      <c r="F173" s="1">
        <v>38175</v>
      </c>
      <c r="G173" t="s">
        <v>55</v>
      </c>
      <c r="H173">
        <v>117</v>
      </c>
      <c r="I173" t="s">
        <v>140</v>
      </c>
      <c r="J173" t="s">
        <v>74</v>
      </c>
      <c r="K173">
        <v>2125557413</v>
      </c>
      <c r="L173" t="s">
        <v>75</v>
      </c>
      <c r="M173" t="s">
        <v>76</v>
      </c>
      <c r="N173" t="s">
        <v>23</v>
      </c>
      <c r="O173" t="s">
        <v>24</v>
      </c>
      <c r="P173">
        <v>10022</v>
      </c>
      <c r="Q173" t="s">
        <v>25</v>
      </c>
      <c r="R173" t="s">
        <v>26</v>
      </c>
      <c r="S173" t="s">
        <v>29</v>
      </c>
      <c r="T173" t="s">
        <v>77</v>
      </c>
      <c r="U173" t="s">
        <v>28</v>
      </c>
    </row>
    <row r="174" spans="1:21" x14ac:dyDescent="0.3">
      <c r="A174">
        <v>10420</v>
      </c>
      <c r="B174">
        <v>55</v>
      </c>
      <c r="C174">
        <v>96.3</v>
      </c>
      <c r="D174">
        <v>8</v>
      </c>
      <c r="E174">
        <v>5296.5</v>
      </c>
      <c r="F174" s="1" t="s">
        <v>188</v>
      </c>
      <c r="G174" t="s">
        <v>55</v>
      </c>
      <c r="H174">
        <v>117</v>
      </c>
      <c r="I174" t="s">
        <v>140</v>
      </c>
      <c r="J174" t="s">
        <v>47</v>
      </c>
      <c r="K174" t="s">
        <v>48</v>
      </c>
      <c r="L174" t="s">
        <v>49</v>
      </c>
      <c r="M174" t="s">
        <v>50</v>
      </c>
      <c r="N174" t="s">
        <v>51</v>
      </c>
      <c r="O174" t="s">
        <v>52</v>
      </c>
      <c r="P174">
        <v>2067</v>
      </c>
      <c r="Q174" t="s">
        <v>36</v>
      </c>
      <c r="R174" t="s">
        <v>37</v>
      </c>
      <c r="S174" t="s">
        <v>53</v>
      </c>
      <c r="T174" t="s">
        <v>54</v>
      </c>
      <c r="U174" t="s">
        <v>28</v>
      </c>
    </row>
    <row r="175" spans="1:21" x14ac:dyDescent="0.3">
      <c r="A175">
        <v>10342</v>
      </c>
      <c r="B175">
        <v>39</v>
      </c>
      <c r="C175">
        <v>40.4</v>
      </c>
      <c r="D175">
        <v>9</v>
      </c>
      <c r="E175">
        <v>1575.6</v>
      </c>
      <c r="F175" s="1" t="s">
        <v>185</v>
      </c>
      <c r="G175" t="s">
        <v>55</v>
      </c>
      <c r="H175">
        <v>37</v>
      </c>
      <c r="I175" t="s">
        <v>141</v>
      </c>
      <c r="J175" t="s">
        <v>30</v>
      </c>
      <c r="K175" t="s">
        <v>31</v>
      </c>
      <c r="L175" t="s">
        <v>32</v>
      </c>
      <c r="M175" t="s">
        <v>33</v>
      </c>
      <c r="N175" t="s">
        <v>34</v>
      </c>
      <c r="O175" t="s">
        <v>35</v>
      </c>
      <c r="P175">
        <v>3004</v>
      </c>
      <c r="Q175" t="s">
        <v>36</v>
      </c>
      <c r="R175" t="s">
        <v>37</v>
      </c>
      <c r="S175" t="s">
        <v>38</v>
      </c>
      <c r="T175" t="s">
        <v>39</v>
      </c>
      <c r="U175" t="s">
        <v>27</v>
      </c>
    </row>
    <row r="176" spans="1:21" x14ac:dyDescent="0.3">
      <c r="A176">
        <v>10148</v>
      </c>
      <c r="B176">
        <v>31</v>
      </c>
      <c r="C176">
        <v>73.62</v>
      </c>
      <c r="D176">
        <v>5</v>
      </c>
      <c r="E176">
        <v>2282.2199999999998</v>
      </c>
      <c r="F176" s="1">
        <v>37934</v>
      </c>
      <c r="G176" t="s">
        <v>55</v>
      </c>
      <c r="H176">
        <v>85</v>
      </c>
      <c r="I176" t="s">
        <v>142</v>
      </c>
      <c r="J176" t="s">
        <v>61</v>
      </c>
      <c r="K176" t="s">
        <v>62</v>
      </c>
      <c r="L176" t="s">
        <v>63</v>
      </c>
      <c r="M176" t="s">
        <v>64</v>
      </c>
      <c r="N176" t="s">
        <v>65</v>
      </c>
      <c r="O176" t="s">
        <v>52</v>
      </c>
      <c r="P176">
        <v>2060</v>
      </c>
      <c r="Q176" t="s">
        <v>36</v>
      </c>
      <c r="R176" t="s">
        <v>37</v>
      </c>
      <c r="S176" t="s">
        <v>66</v>
      </c>
      <c r="T176" t="s">
        <v>67</v>
      </c>
      <c r="U176" t="s">
        <v>27</v>
      </c>
    </row>
    <row r="177" spans="1:21" x14ac:dyDescent="0.3">
      <c r="A177">
        <v>10204</v>
      </c>
      <c r="B177">
        <v>40</v>
      </c>
      <c r="C177">
        <v>79.62</v>
      </c>
      <c r="D177">
        <v>9</v>
      </c>
      <c r="E177">
        <v>3184.8</v>
      </c>
      <c r="F177" s="1">
        <v>37664</v>
      </c>
      <c r="G177" t="s">
        <v>55</v>
      </c>
      <c r="H177">
        <v>85</v>
      </c>
      <c r="I177" t="s">
        <v>142</v>
      </c>
      <c r="J177" t="s">
        <v>74</v>
      </c>
      <c r="K177">
        <v>2125557413</v>
      </c>
      <c r="L177" t="s">
        <v>75</v>
      </c>
      <c r="M177" t="s">
        <v>76</v>
      </c>
      <c r="N177" t="s">
        <v>23</v>
      </c>
      <c r="O177" t="s">
        <v>24</v>
      </c>
      <c r="P177">
        <v>10022</v>
      </c>
      <c r="Q177" t="s">
        <v>25</v>
      </c>
      <c r="R177" t="s">
        <v>26</v>
      </c>
      <c r="S177" t="s">
        <v>29</v>
      </c>
      <c r="T177" t="s">
        <v>77</v>
      </c>
      <c r="U177" t="s">
        <v>28</v>
      </c>
    </row>
    <row r="178" spans="1:21" x14ac:dyDescent="0.3">
      <c r="A178">
        <v>10267</v>
      </c>
      <c r="B178">
        <v>44</v>
      </c>
      <c r="C178">
        <v>96.74</v>
      </c>
      <c r="D178">
        <v>4</v>
      </c>
      <c r="E178">
        <v>4256.5600000000004</v>
      </c>
      <c r="F178" s="1">
        <v>38175</v>
      </c>
      <c r="G178" t="s">
        <v>55</v>
      </c>
      <c r="H178">
        <v>85</v>
      </c>
      <c r="I178" t="s">
        <v>142</v>
      </c>
      <c r="J178" t="s">
        <v>74</v>
      </c>
      <c r="K178">
        <v>2125557413</v>
      </c>
      <c r="L178" t="s">
        <v>75</v>
      </c>
      <c r="M178" t="s">
        <v>76</v>
      </c>
      <c r="N178" t="s">
        <v>23</v>
      </c>
      <c r="O178" t="s">
        <v>24</v>
      </c>
      <c r="P178">
        <v>10022</v>
      </c>
      <c r="Q178" t="s">
        <v>25</v>
      </c>
      <c r="R178" t="s">
        <v>26</v>
      </c>
      <c r="S178" t="s">
        <v>29</v>
      </c>
      <c r="T178" t="s">
        <v>77</v>
      </c>
      <c r="U178" t="s">
        <v>28</v>
      </c>
    </row>
    <row r="179" spans="1:21" x14ac:dyDescent="0.3">
      <c r="A179">
        <v>10420</v>
      </c>
      <c r="B179">
        <v>35</v>
      </c>
      <c r="C179">
        <v>96.74</v>
      </c>
      <c r="D179">
        <v>10</v>
      </c>
      <c r="E179">
        <v>3385.9</v>
      </c>
      <c r="F179" s="1" t="s">
        <v>188</v>
      </c>
      <c r="G179" t="s">
        <v>55</v>
      </c>
      <c r="H179">
        <v>85</v>
      </c>
      <c r="I179" t="s">
        <v>142</v>
      </c>
      <c r="J179" t="s">
        <v>47</v>
      </c>
      <c r="K179" t="s">
        <v>48</v>
      </c>
      <c r="L179" t="s">
        <v>49</v>
      </c>
      <c r="M179" t="s">
        <v>50</v>
      </c>
      <c r="N179" t="s">
        <v>51</v>
      </c>
      <c r="O179" t="s">
        <v>52</v>
      </c>
      <c r="P179">
        <v>2067</v>
      </c>
      <c r="Q179" t="s">
        <v>36</v>
      </c>
      <c r="R179" t="s">
        <v>37</v>
      </c>
      <c r="S179" t="s">
        <v>53</v>
      </c>
      <c r="T179" t="s">
        <v>54</v>
      </c>
      <c r="U179" t="s">
        <v>28</v>
      </c>
    </row>
    <row r="180" spans="1:21" x14ac:dyDescent="0.3">
      <c r="A180">
        <v>10169</v>
      </c>
      <c r="B180">
        <v>34</v>
      </c>
      <c r="C180">
        <v>50.21</v>
      </c>
      <c r="D180">
        <v>1</v>
      </c>
      <c r="E180">
        <v>1707.14</v>
      </c>
      <c r="F180" s="1">
        <v>37722</v>
      </c>
      <c r="G180" t="s">
        <v>55</v>
      </c>
      <c r="H180">
        <v>61</v>
      </c>
      <c r="I180" t="s">
        <v>143</v>
      </c>
      <c r="J180" t="s">
        <v>61</v>
      </c>
      <c r="K180" t="s">
        <v>62</v>
      </c>
      <c r="L180" t="s">
        <v>63</v>
      </c>
      <c r="M180" t="s">
        <v>64</v>
      </c>
      <c r="N180" t="s">
        <v>65</v>
      </c>
      <c r="O180" t="s">
        <v>52</v>
      </c>
      <c r="P180">
        <v>2060</v>
      </c>
      <c r="Q180" t="s">
        <v>36</v>
      </c>
      <c r="R180" t="s">
        <v>37</v>
      </c>
      <c r="S180" t="s">
        <v>66</v>
      </c>
      <c r="T180" t="s">
        <v>67</v>
      </c>
      <c r="U180" t="s">
        <v>27</v>
      </c>
    </row>
    <row r="181" spans="1:21" x14ac:dyDescent="0.3">
      <c r="A181">
        <v>10342</v>
      </c>
      <c r="B181">
        <v>48</v>
      </c>
      <c r="C181">
        <v>62.45</v>
      </c>
      <c r="D181">
        <v>10</v>
      </c>
      <c r="E181">
        <v>2997.6</v>
      </c>
      <c r="F181" s="1" t="s">
        <v>185</v>
      </c>
      <c r="G181" t="s">
        <v>55</v>
      </c>
      <c r="H181">
        <v>61</v>
      </c>
      <c r="I181" t="s">
        <v>143</v>
      </c>
      <c r="J181" t="s">
        <v>30</v>
      </c>
      <c r="K181" t="s">
        <v>31</v>
      </c>
      <c r="L181" t="s">
        <v>32</v>
      </c>
      <c r="M181" t="s">
        <v>33</v>
      </c>
      <c r="N181" t="s">
        <v>34</v>
      </c>
      <c r="O181" t="s">
        <v>35</v>
      </c>
      <c r="P181">
        <v>3004</v>
      </c>
      <c r="Q181" t="s">
        <v>36</v>
      </c>
      <c r="R181" t="s">
        <v>37</v>
      </c>
      <c r="S181" t="s">
        <v>38</v>
      </c>
      <c r="T181" t="s">
        <v>39</v>
      </c>
      <c r="U181" t="s">
        <v>27</v>
      </c>
    </row>
    <row r="182" spans="1:21" x14ac:dyDescent="0.3">
      <c r="A182">
        <v>10361</v>
      </c>
      <c r="B182">
        <v>34</v>
      </c>
      <c r="C182">
        <v>100</v>
      </c>
      <c r="D182">
        <v>6</v>
      </c>
      <c r="E182">
        <v>3871.92</v>
      </c>
      <c r="F182" s="1" t="s">
        <v>178</v>
      </c>
      <c r="G182" t="s">
        <v>92</v>
      </c>
      <c r="H182">
        <v>65</v>
      </c>
      <c r="I182" t="s">
        <v>144</v>
      </c>
      <c r="J182" t="s">
        <v>47</v>
      </c>
      <c r="K182" t="s">
        <v>48</v>
      </c>
      <c r="L182" t="s">
        <v>49</v>
      </c>
      <c r="M182" t="s">
        <v>50</v>
      </c>
      <c r="N182" t="s">
        <v>51</v>
      </c>
      <c r="O182" t="s">
        <v>52</v>
      </c>
      <c r="P182">
        <v>2067</v>
      </c>
      <c r="Q182" t="s">
        <v>36</v>
      </c>
      <c r="R182" t="s">
        <v>37</v>
      </c>
      <c r="S182" t="s">
        <v>53</v>
      </c>
      <c r="T182" t="s">
        <v>54</v>
      </c>
      <c r="U182" t="s">
        <v>28</v>
      </c>
    </row>
    <row r="183" spans="1:21" x14ac:dyDescent="0.3">
      <c r="A183">
        <v>10148</v>
      </c>
      <c r="B183">
        <v>27</v>
      </c>
      <c r="C183">
        <v>100</v>
      </c>
      <c r="D183">
        <v>7</v>
      </c>
      <c r="E183">
        <v>3469.5</v>
      </c>
      <c r="F183" s="1">
        <v>37934</v>
      </c>
      <c r="G183" t="s">
        <v>55</v>
      </c>
      <c r="H183">
        <v>107</v>
      </c>
      <c r="I183" t="s">
        <v>145</v>
      </c>
      <c r="J183" t="s">
        <v>61</v>
      </c>
      <c r="K183" t="s">
        <v>62</v>
      </c>
      <c r="L183" t="s">
        <v>63</v>
      </c>
      <c r="M183" t="s">
        <v>64</v>
      </c>
      <c r="N183" t="s">
        <v>65</v>
      </c>
      <c r="O183" t="s">
        <v>52</v>
      </c>
      <c r="P183">
        <v>2060</v>
      </c>
      <c r="Q183" t="s">
        <v>36</v>
      </c>
      <c r="R183" t="s">
        <v>37</v>
      </c>
      <c r="S183" t="s">
        <v>66</v>
      </c>
      <c r="T183" t="s">
        <v>67</v>
      </c>
      <c r="U183" t="s">
        <v>28</v>
      </c>
    </row>
    <row r="184" spans="1:21" x14ac:dyDescent="0.3">
      <c r="A184">
        <v>10204</v>
      </c>
      <c r="B184">
        <v>48</v>
      </c>
      <c r="C184">
        <v>91.02</v>
      </c>
      <c r="D184">
        <v>11</v>
      </c>
      <c r="E184">
        <v>4368.96</v>
      </c>
      <c r="F184" s="1">
        <v>37664</v>
      </c>
      <c r="G184" t="s">
        <v>55</v>
      </c>
      <c r="H184">
        <v>107</v>
      </c>
      <c r="I184" t="s">
        <v>145</v>
      </c>
      <c r="J184" t="s">
        <v>74</v>
      </c>
      <c r="K184">
        <v>2125557413</v>
      </c>
      <c r="L184" t="s">
        <v>75</v>
      </c>
      <c r="M184" t="s">
        <v>76</v>
      </c>
      <c r="N184" t="s">
        <v>23</v>
      </c>
      <c r="O184" t="s">
        <v>24</v>
      </c>
      <c r="P184">
        <v>10022</v>
      </c>
      <c r="Q184" t="s">
        <v>25</v>
      </c>
      <c r="R184" t="s">
        <v>26</v>
      </c>
      <c r="S184" t="s">
        <v>29</v>
      </c>
      <c r="T184" t="s">
        <v>77</v>
      </c>
      <c r="U184" t="s">
        <v>28</v>
      </c>
    </row>
    <row r="185" spans="1:21" x14ac:dyDescent="0.3">
      <c r="A185">
        <v>10267</v>
      </c>
      <c r="B185">
        <v>43</v>
      </c>
      <c r="C185">
        <v>100</v>
      </c>
      <c r="D185">
        <v>6</v>
      </c>
      <c r="E185">
        <v>5110.9799999999996</v>
      </c>
      <c r="F185" s="1">
        <v>38175</v>
      </c>
      <c r="G185" t="s">
        <v>55</v>
      </c>
      <c r="H185">
        <v>107</v>
      </c>
      <c r="I185" t="s">
        <v>145</v>
      </c>
      <c r="J185" t="s">
        <v>74</v>
      </c>
      <c r="K185">
        <v>2125557413</v>
      </c>
      <c r="L185" t="s">
        <v>75</v>
      </c>
      <c r="M185" t="s">
        <v>76</v>
      </c>
      <c r="N185" t="s">
        <v>23</v>
      </c>
      <c r="O185" t="s">
        <v>24</v>
      </c>
      <c r="P185">
        <v>10022</v>
      </c>
      <c r="Q185" t="s">
        <v>25</v>
      </c>
      <c r="R185" t="s">
        <v>26</v>
      </c>
      <c r="S185" t="s">
        <v>29</v>
      </c>
      <c r="T185" t="s">
        <v>77</v>
      </c>
      <c r="U185" t="s">
        <v>28</v>
      </c>
    </row>
    <row r="186" spans="1:21" x14ac:dyDescent="0.3">
      <c r="A186">
        <v>10420</v>
      </c>
      <c r="B186">
        <v>26</v>
      </c>
      <c r="C186">
        <v>100</v>
      </c>
      <c r="D186">
        <v>12</v>
      </c>
      <c r="E186">
        <v>2617.16</v>
      </c>
      <c r="F186" s="1" t="s">
        <v>188</v>
      </c>
      <c r="G186" t="s">
        <v>55</v>
      </c>
      <c r="H186">
        <v>107</v>
      </c>
      <c r="I186" t="s">
        <v>145</v>
      </c>
      <c r="J186" t="s">
        <v>47</v>
      </c>
      <c r="K186" t="s">
        <v>48</v>
      </c>
      <c r="L186" t="s">
        <v>49</v>
      </c>
      <c r="M186" t="s">
        <v>50</v>
      </c>
      <c r="N186" t="s">
        <v>51</v>
      </c>
      <c r="O186" t="s">
        <v>52</v>
      </c>
      <c r="P186">
        <v>2067</v>
      </c>
      <c r="Q186" t="s">
        <v>36</v>
      </c>
      <c r="R186" t="s">
        <v>37</v>
      </c>
      <c r="S186" t="s">
        <v>53</v>
      </c>
      <c r="T186" t="s">
        <v>54</v>
      </c>
      <c r="U186" t="s">
        <v>27</v>
      </c>
    </row>
    <row r="187" spans="1:21" x14ac:dyDescent="0.3">
      <c r="A187">
        <v>10342</v>
      </c>
      <c r="B187">
        <v>42</v>
      </c>
      <c r="C187">
        <v>100</v>
      </c>
      <c r="D187">
        <v>6</v>
      </c>
      <c r="E187">
        <v>5013.54</v>
      </c>
      <c r="F187" s="1" t="s">
        <v>185</v>
      </c>
      <c r="G187" t="s">
        <v>55</v>
      </c>
      <c r="H187">
        <v>140</v>
      </c>
      <c r="I187" t="s">
        <v>146</v>
      </c>
      <c r="J187" t="s">
        <v>30</v>
      </c>
      <c r="K187" t="s">
        <v>31</v>
      </c>
      <c r="L187" t="s">
        <v>32</v>
      </c>
      <c r="M187" t="s">
        <v>33</v>
      </c>
      <c r="N187" t="s">
        <v>34</v>
      </c>
      <c r="O187" t="s">
        <v>35</v>
      </c>
      <c r="P187">
        <v>3004</v>
      </c>
      <c r="Q187" t="s">
        <v>36</v>
      </c>
      <c r="R187" t="s">
        <v>37</v>
      </c>
      <c r="S187" t="s">
        <v>38</v>
      </c>
      <c r="T187" t="s">
        <v>39</v>
      </c>
      <c r="U187" t="s">
        <v>28</v>
      </c>
    </row>
    <row r="188" spans="1:21" x14ac:dyDescent="0.3">
      <c r="A188">
        <v>10361</v>
      </c>
      <c r="B188">
        <v>26</v>
      </c>
      <c r="C188">
        <v>100</v>
      </c>
      <c r="D188">
        <v>7</v>
      </c>
      <c r="E188">
        <v>3710.98</v>
      </c>
      <c r="F188" s="1" t="s">
        <v>178</v>
      </c>
      <c r="G188" t="s">
        <v>96</v>
      </c>
      <c r="H188">
        <v>68</v>
      </c>
      <c r="I188" t="s">
        <v>147</v>
      </c>
      <c r="J188" t="s">
        <v>47</v>
      </c>
      <c r="K188" t="s">
        <v>48</v>
      </c>
      <c r="L188" t="s">
        <v>49</v>
      </c>
      <c r="M188" t="s">
        <v>50</v>
      </c>
      <c r="N188" t="s">
        <v>51</v>
      </c>
      <c r="O188" t="s">
        <v>52</v>
      </c>
      <c r="P188">
        <v>2067</v>
      </c>
      <c r="Q188" t="s">
        <v>36</v>
      </c>
      <c r="R188" t="s">
        <v>37</v>
      </c>
      <c r="S188" t="s">
        <v>53</v>
      </c>
      <c r="T188" t="s">
        <v>54</v>
      </c>
      <c r="U188" t="s">
        <v>28</v>
      </c>
    </row>
    <row r="189" spans="1:21" x14ac:dyDescent="0.3">
      <c r="A189">
        <v>10204</v>
      </c>
      <c r="B189">
        <v>39</v>
      </c>
      <c r="C189">
        <v>33.229999999999997</v>
      </c>
      <c r="D189">
        <v>2</v>
      </c>
      <c r="E189">
        <v>1295.97</v>
      </c>
      <c r="F189" s="1">
        <v>37664</v>
      </c>
      <c r="G189" t="s">
        <v>92</v>
      </c>
      <c r="H189">
        <v>41</v>
      </c>
      <c r="I189" t="s">
        <v>148</v>
      </c>
      <c r="J189" t="s">
        <v>74</v>
      </c>
      <c r="K189">
        <v>2125557413</v>
      </c>
      <c r="L189" t="s">
        <v>75</v>
      </c>
      <c r="M189" t="s">
        <v>76</v>
      </c>
      <c r="N189" t="s">
        <v>23</v>
      </c>
      <c r="O189" t="s">
        <v>24</v>
      </c>
      <c r="P189">
        <v>10022</v>
      </c>
      <c r="Q189" t="s">
        <v>25</v>
      </c>
      <c r="R189" t="s">
        <v>26</v>
      </c>
      <c r="S189" t="s">
        <v>29</v>
      </c>
      <c r="T189" t="s">
        <v>77</v>
      </c>
      <c r="U189" t="s">
        <v>27</v>
      </c>
    </row>
    <row r="190" spans="1:21" x14ac:dyDescent="0.3">
      <c r="A190">
        <v>10242</v>
      </c>
      <c r="B190">
        <v>46</v>
      </c>
      <c r="C190">
        <v>36.93</v>
      </c>
      <c r="D190">
        <v>1</v>
      </c>
      <c r="E190">
        <v>1698.78</v>
      </c>
      <c r="F190" s="1" t="s">
        <v>189</v>
      </c>
      <c r="G190" t="s">
        <v>92</v>
      </c>
      <c r="H190">
        <v>41</v>
      </c>
      <c r="I190" t="s">
        <v>148</v>
      </c>
      <c r="J190" t="s">
        <v>81</v>
      </c>
      <c r="K190">
        <v>2125551957</v>
      </c>
      <c r="L190" t="s">
        <v>82</v>
      </c>
      <c r="M190" t="s">
        <v>83</v>
      </c>
      <c r="N190" t="s">
        <v>23</v>
      </c>
      <c r="O190" t="s">
        <v>24</v>
      </c>
      <c r="P190">
        <v>10022</v>
      </c>
      <c r="Q190" t="s">
        <v>25</v>
      </c>
      <c r="R190" t="s">
        <v>26</v>
      </c>
      <c r="S190" t="s">
        <v>84</v>
      </c>
      <c r="T190" t="s">
        <v>85</v>
      </c>
      <c r="U190" t="s">
        <v>27</v>
      </c>
    </row>
    <row r="191" spans="1:21" x14ac:dyDescent="0.3">
      <c r="A191">
        <v>10420</v>
      </c>
      <c r="B191">
        <v>15</v>
      </c>
      <c r="C191">
        <v>43.49</v>
      </c>
      <c r="D191">
        <v>3</v>
      </c>
      <c r="E191">
        <v>652.35</v>
      </c>
      <c r="F191" s="1" t="s">
        <v>188</v>
      </c>
      <c r="G191" t="s">
        <v>92</v>
      </c>
      <c r="H191">
        <v>41</v>
      </c>
      <c r="I191" t="s">
        <v>148</v>
      </c>
      <c r="J191" t="s">
        <v>47</v>
      </c>
      <c r="K191" t="s">
        <v>48</v>
      </c>
      <c r="L191" t="s">
        <v>49</v>
      </c>
      <c r="M191" t="s">
        <v>50</v>
      </c>
      <c r="N191" t="s">
        <v>51</v>
      </c>
      <c r="O191" t="s">
        <v>52</v>
      </c>
      <c r="P191">
        <v>2067</v>
      </c>
      <c r="Q191" t="s">
        <v>36</v>
      </c>
      <c r="R191" t="s">
        <v>37</v>
      </c>
      <c r="S191" t="s">
        <v>53</v>
      </c>
      <c r="T191" t="s">
        <v>54</v>
      </c>
      <c r="U191" t="s">
        <v>27</v>
      </c>
    </row>
    <row r="192" spans="1:21" x14ac:dyDescent="0.3">
      <c r="A192">
        <v>10115</v>
      </c>
      <c r="B192">
        <v>44</v>
      </c>
      <c r="C192">
        <v>100</v>
      </c>
      <c r="D192">
        <v>1</v>
      </c>
      <c r="E192">
        <v>5568.64</v>
      </c>
      <c r="F192" s="1">
        <v>37715</v>
      </c>
      <c r="G192" t="s">
        <v>55</v>
      </c>
      <c r="H192">
        <v>118</v>
      </c>
      <c r="I192" t="s">
        <v>149</v>
      </c>
      <c r="J192" t="s">
        <v>57</v>
      </c>
      <c r="K192">
        <v>2125558493</v>
      </c>
      <c r="L192" t="s">
        <v>58</v>
      </c>
      <c r="M192" t="s">
        <v>59</v>
      </c>
      <c r="N192" t="s">
        <v>23</v>
      </c>
      <c r="O192" t="s">
        <v>24</v>
      </c>
      <c r="P192">
        <v>10022</v>
      </c>
      <c r="Q192" t="s">
        <v>25</v>
      </c>
      <c r="R192" t="s">
        <v>26</v>
      </c>
      <c r="S192" t="s">
        <v>45</v>
      </c>
      <c r="T192" t="s">
        <v>60</v>
      </c>
      <c r="U192" t="s">
        <v>28</v>
      </c>
    </row>
    <row r="193" spans="1:21" x14ac:dyDescent="0.3">
      <c r="A193">
        <v>10127</v>
      </c>
      <c r="B193">
        <v>20</v>
      </c>
      <c r="C193">
        <v>96.99</v>
      </c>
      <c r="D193">
        <v>7</v>
      </c>
      <c r="E193">
        <v>1939.8</v>
      </c>
      <c r="F193" s="1">
        <v>37686</v>
      </c>
      <c r="G193" t="s">
        <v>55</v>
      </c>
      <c r="H193">
        <v>118</v>
      </c>
      <c r="I193" t="s">
        <v>149</v>
      </c>
      <c r="J193" t="s">
        <v>74</v>
      </c>
      <c r="K193">
        <v>2125557413</v>
      </c>
      <c r="L193" t="s">
        <v>75</v>
      </c>
      <c r="M193" t="s">
        <v>76</v>
      </c>
      <c r="N193" t="s">
        <v>23</v>
      </c>
      <c r="O193" t="s">
        <v>24</v>
      </c>
      <c r="P193">
        <v>10022</v>
      </c>
      <c r="Q193" t="s">
        <v>25</v>
      </c>
      <c r="R193" t="s">
        <v>26</v>
      </c>
      <c r="S193" t="s">
        <v>29</v>
      </c>
      <c r="T193" t="s">
        <v>77</v>
      </c>
      <c r="U193" t="s">
        <v>27</v>
      </c>
    </row>
    <row r="194" spans="1:21" x14ac:dyDescent="0.3">
      <c r="A194">
        <v>10349</v>
      </c>
      <c r="B194">
        <v>23</v>
      </c>
      <c r="C194">
        <v>100</v>
      </c>
      <c r="D194">
        <v>2</v>
      </c>
      <c r="E194">
        <v>3182.97</v>
      </c>
      <c r="F194" s="1">
        <v>37998</v>
      </c>
      <c r="G194" t="s">
        <v>55</v>
      </c>
      <c r="H194">
        <v>118</v>
      </c>
      <c r="I194" t="s">
        <v>149</v>
      </c>
      <c r="J194" t="s">
        <v>74</v>
      </c>
      <c r="K194">
        <v>2125557413</v>
      </c>
      <c r="L194" t="s">
        <v>75</v>
      </c>
      <c r="M194" t="s">
        <v>76</v>
      </c>
      <c r="N194" t="s">
        <v>23</v>
      </c>
      <c r="O194" t="s">
        <v>24</v>
      </c>
      <c r="P194">
        <v>10022</v>
      </c>
      <c r="Q194" t="s">
        <v>25</v>
      </c>
      <c r="R194" t="s">
        <v>26</v>
      </c>
      <c r="S194" t="s">
        <v>29</v>
      </c>
      <c r="T194" t="s">
        <v>77</v>
      </c>
      <c r="U194" t="s">
        <v>28</v>
      </c>
    </row>
    <row r="195" spans="1:21" x14ac:dyDescent="0.3">
      <c r="A195">
        <v>10139</v>
      </c>
      <c r="B195">
        <v>29</v>
      </c>
      <c r="C195">
        <v>100</v>
      </c>
      <c r="D195">
        <v>4</v>
      </c>
      <c r="E195">
        <v>3276.13</v>
      </c>
      <c r="F195" s="1" t="s">
        <v>187</v>
      </c>
      <c r="G195" t="s">
        <v>92</v>
      </c>
      <c r="H195">
        <v>97</v>
      </c>
      <c r="I195" t="s">
        <v>150</v>
      </c>
      <c r="J195" t="s">
        <v>47</v>
      </c>
      <c r="K195" t="s">
        <v>48</v>
      </c>
      <c r="L195" t="s">
        <v>49</v>
      </c>
      <c r="M195" t="s">
        <v>50</v>
      </c>
      <c r="N195" t="s">
        <v>51</v>
      </c>
      <c r="O195" t="s">
        <v>52</v>
      </c>
      <c r="P195">
        <v>2067</v>
      </c>
      <c r="Q195" t="s">
        <v>36</v>
      </c>
      <c r="R195" t="s">
        <v>37</v>
      </c>
      <c r="S195" t="s">
        <v>53</v>
      </c>
      <c r="T195" t="s">
        <v>54</v>
      </c>
      <c r="U195" t="s">
        <v>28</v>
      </c>
    </row>
    <row r="196" spans="1:21" x14ac:dyDescent="0.3">
      <c r="A196">
        <v>10163</v>
      </c>
      <c r="B196">
        <v>42</v>
      </c>
      <c r="C196">
        <v>91.55</v>
      </c>
      <c r="D196">
        <v>5</v>
      </c>
      <c r="E196">
        <v>3845.1</v>
      </c>
      <c r="F196" s="1" t="s">
        <v>179</v>
      </c>
      <c r="G196" t="s">
        <v>92</v>
      </c>
      <c r="H196">
        <v>97</v>
      </c>
      <c r="I196" t="s">
        <v>150</v>
      </c>
      <c r="J196" t="s">
        <v>57</v>
      </c>
      <c r="K196">
        <v>2125558493</v>
      </c>
      <c r="L196" t="s">
        <v>58</v>
      </c>
      <c r="M196" t="s">
        <v>59</v>
      </c>
      <c r="N196" t="s">
        <v>23</v>
      </c>
      <c r="O196" t="s">
        <v>24</v>
      </c>
      <c r="P196">
        <v>10022</v>
      </c>
      <c r="Q196" t="s">
        <v>25</v>
      </c>
      <c r="R196" t="s">
        <v>26</v>
      </c>
      <c r="S196" t="s">
        <v>45</v>
      </c>
      <c r="T196" t="s">
        <v>60</v>
      </c>
      <c r="U196" t="s">
        <v>28</v>
      </c>
    </row>
    <row r="197" spans="1:21" x14ac:dyDescent="0.3">
      <c r="A197">
        <v>10324</v>
      </c>
      <c r="B197">
        <v>33</v>
      </c>
      <c r="C197">
        <v>100</v>
      </c>
      <c r="D197">
        <v>3</v>
      </c>
      <c r="E197">
        <v>6267.69</v>
      </c>
      <c r="F197" s="1">
        <v>38118</v>
      </c>
      <c r="G197" t="s">
        <v>92</v>
      </c>
      <c r="H197">
        <v>97</v>
      </c>
      <c r="I197" t="s">
        <v>150</v>
      </c>
      <c r="J197" t="s">
        <v>40</v>
      </c>
      <c r="K197">
        <v>2125551500</v>
      </c>
      <c r="L197" t="s">
        <v>41</v>
      </c>
      <c r="M197" t="s">
        <v>42</v>
      </c>
      <c r="N197" t="s">
        <v>23</v>
      </c>
      <c r="O197" t="s">
        <v>24</v>
      </c>
      <c r="P197">
        <v>10022</v>
      </c>
      <c r="Q197" t="s">
        <v>25</v>
      </c>
      <c r="R197" t="s">
        <v>26</v>
      </c>
      <c r="S197" t="s">
        <v>43</v>
      </c>
      <c r="T197" t="s">
        <v>44</v>
      </c>
      <c r="U197" t="s">
        <v>28</v>
      </c>
    </row>
    <row r="198" spans="1:21" x14ac:dyDescent="0.3">
      <c r="A198">
        <v>10120</v>
      </c>
      <c r="B198">
        <v>29</v>
      </c>
      <c r="C198">
        <v>85.49</v>
      </c>
      <c r="D198">
        <v>9</v>
      </c>
      <c r="E198">
        <v>2479.21</v>
      </c>
      <c r="F198" s="1" t="s">
        <v>182</v>
      </c>
      <c r="G198" t="s">
        <v>96</v>
      </c>
      <c r="H198">
        <v>72</v>
      </c>
      <c r="I198" t="s">
        <v>151</v>
      </c>
      <c r="J198" t="s">
        <v>30</v>
      </c>
      <c r="K198" t="s">
        <v>31</v>
      </c>
      <c r="L198" t="s">
        <v>32</v>
      </c>
      <c r="M198" t="s">
        <v>33</v>
      </c>
      <c r="N198" t="s">
        <v>34</v>
      </c>
      <c r="O198" t="s">
        <v>35</v>
      </c>
      <c r="P198">
        <v>3004</v>
      </c>
      <c r="Q198" t="s">
        <v>36</v>
      </c>
      <c r="R198" t="s">
        <v>37</v>
      </c>
      <c r="S198" t="s">
        <v>38</v>
      </c>
      <c r="T198" t="s">
        <v>39</v>
      </c>
      <c r="U198" t="s">
        <v>27</v>
      </c>
    </row>
    <row r="199" spans="1:21" x14ac:dyDescent="0.3">
      <c r="A199">
        <v>10223</v>
      </c>
      <c r="B199">
        <v>23</v>
      </c>
      <c r="C199">
        <v>74.62</v>
      </c>
      <c r="D199">
        <v>10</v>
      </c>
      <c r="E199">
        <v>1716.26</v>
      </c>
      <c r="F199" s="1" t="s">
        <v>177</v>
      </c>
      <c r="G199" t="s">
        <v>96</v>
      </c>
      <c r="H199">
        <v>72</v>
      </c>
      <c r="I199" t="s">
        <v>151</v>
      </c>
      <c r="J199" t="s">
        <v>30</v>
      </c>
      <c r="K199" t="s">
        <v>31</v>
      </c>
      <c r="L199" t="s">
        <v>32</v>
      </c>
      <c r="M199" t="s">
        <v>33</v>
      </c>
      <c r="N199" t="s">
        <v>34</v>
      </c>
      <c r="O199" t="s">
        <v>35</v>
      </c>
      <c r="P199">
        <v>3004</v>
      </c>
      <c r="Q199" t="s">
        <v>36</v>
      </c>
      <c r="R199" t="s">
        <v>37</v>
      </c>
      <c r="S199" t="s">
        <v>38</v>
      </c>
      <c r="T199" t="s">
        <v>39</v>
      </c>
      <c r="U199" t="s">
        <v>27</v>
      </c>
    </row>
    <row r="200" spans="1:21" x14ac:dyDescent="0.3">
      <c r="A200">
        <v>10361</v>
      </c>
      <c r="B200">
        <v>25</v>
      </c>
      <c r="C200">
        <v>62.46</v>
      </c>
      <c r="D200">
        <v>1</v>
      </c>
      <c r="E200">
        <v>1561.5</v>
      </c>
      <c r="F200" s="1" t="s">
        <v>178</v>
      </c>
      <c r="G200" t="s">
        <v>96</v>
      </c>
      <c r="H200">
        <v>72</v>
      </c>
      <c r="I200" t="s">
        <v>151</v>
      </c>
      <c r="J200" t="s">
        <v>47</v>
      </c>
      <c r="K200" t="s">
        <v>48</v>
      </c>
      <c r="L200" t="s">
        <v>49</v>
      </c>
      <c r="M200" t="s">
        <v>50</v>
      </c>
      <c r="N200" t="s">
        <v>51</v>
      </c>
      <c r="O200" t="s">
        <v>52</v>
      </c>
      <c r="P200">
        <v>2067</v>
      </c>
      <c r="Q200" t="s">
        <v>36</v>
      </c>
      <c r="R200" t="s">
        <v>37</v>
      </c>
      <c r="S200" t="s">
        <v>53</v>
      </c>
      <c r="T200" t="s">
        <v>54</v>
      </c>
      <c r="U200" t="s">
        <v>27</v>
      </c>
    </row>
    <row r="201" spans="1:21" x14ac:dyDescent="0.3">
      <c r="A201">
        <v>10169</v>
      </c>
      <c r="B201">
        <v>24</v>
      </c>
      <c r="C201">
        <v>94.58</v>
      </c>
      <c r="D201">
        <v>6</v>
      </c>
      <c r="E201">
        <v>2269.92</v>
      </c>
      <c r="F201" s="1">
        <v>37722</v>
      </c>
      <c r="G201" t="s">
        <v>55</v>
      </c>
      <c r="H201">
        <v>80</v>
      </c>
      <c r="I201" t="s">
        <v>152</v>
      </c>
      <c r="J201" t="s">
        <v>61</v>
      </c>
      <c r="K201" t="s">
        <v>62</v>
      </c>
      <c r="L201" t="s">
        <v>63</v>
      </c>
      <c r="M201" t="s">
        <v>64</v>
      </c>
      <c r="N201" t="s">
        <v>65</v>
      </c>
      <c r="O201" t="s">
        <v>52</v>
      </c>
      <c r="P201">
        <v>2060</v>
      </c>
      <c r="Q201" t="s">
        <v>36</v>
      </c>
      <c r="R201" t="s">
        <v>37</v>
      </c>
      <c r="S201" t="s">
        <v>66</v>
      </c>
      <c r="T201" t="s">
        <v>67</v>
      </c>
      <c r="U201" t="s">
        <v>27</v>
      </c>
    </row>
    <row r="202" spans="1:21" x14ac:dyDescent="0.3">
      <c r="A202">
        <v>10319</v>
      </c>
      <c r="B202">
        <v>43</v>
      </c>
      <c r="C202">
        <v>85.69</v>
      </c>
      <c r="D202">
        <v>2</v>
      </c>
      <c r="E202">
        <v>3684.67</v>
      </c>
      <c r="F202" s="1">
        <v>38057</v>
      </c>
      <c r="G202" t="s">
        <v>55</v>
      </c>
      <c r="H202">
        <v>80</v>
      </c>
      <c r="I202" t="s">
        <v>152</v>
      </c>
      <c r="J202" t="s">
        <v>81</v>
      </c>
      <c r="K202">
        <v>2125551957</v>
      </c>
      <c r="L202" t="s">
        <v>82</v>
      </c>
      <c r="M202" t="s">
        <v>83</v>
      </c>
      <c r="N202" t="s">
        <v>23</v>
      </c>
      <c r="O202" t="s">
        <v>24</v>
      </c>
      <c r="P202">
        <v>10022</v>
      </c>
      <c r="Q202" t="s">
        <v>25</v>
      </c>
      <c r="R202" t="s">
        <v>26</v>
      </c>
      <c r="S202" t="s">
        <v>84</v>
      </c>
      <c r="T202" t="s">
        <v>85</v>
      </c>
      <c r="U202" t="s">
        <v>28</v>
      </c>
    </row>
    <row r="203" spans="1:21" x14ac:dyDescent="0.3">
      <c r="A203">
        <v>10270</v>
      </c>
      <c r="B203">
        <v>32</v>
      </c>
      <c r="C203">
        <v>85.72</v>
      </c>
      <c r="D203">
        <v>1</v>
      </c>
      <c r="E203">
        <v>2743.04</v>
      </c>
      <c r="F203" s="1" t="s">
        <v>180</v>
      </c>
      <c r="G203" t="s">
        <v>78</v>
      </c>
      <c r="H203">
        <v>96</v>
      </c>
      <c r="I203" t="s">
        <v>153</v>
      </c>
      <c r="J203" t="s">
        <v>47</v>
      </c>
      <c r="K203" t="s">
        <v>48</v>
      </c>
      <c r="L203" t="s">
        <v>49</v>
      </c>
      <c r="M203" t="s">
        <v>50</v>
      </c>
      <c r="N203" t="s">
        <v>51</v>
      </c>
      <c r="O203" t="s">
        <v>52</v>
      </c>
      <c r="P203">
        <v>2067</v>
      </c>
      <c r="Q203" t="s">
        <v>36</v>
      </c>
      <c r="R203" t="s">
        <v>37</v>
      </c>
      <c r="S203" t="s">
        <v>53</v>
      </c>
      <c r="T203" t="s">
        <v>54</v>
      </c>
      <c r="U203" t="s">
        <v>27</v>
      </c>
    </row>
    <row r="204" spans="1:21" x14ac:dyDescent="0.3">
      <c r="A204">
        <v>10324</v>
      </c>
      <c r="B204">
        <v>20</v>
      </c>
      <c r="C204">
        <v>98.18</v>
      </c>
      <c r="D204">
        <v>11</v>
      </c>
      <c r="E204">
        <v>1963.6</v>
      </c>
      <c r="F204" s="1">
        <v>38118</v>
      </c>
      <c r="G204" t="s">
        <v>78</v>
      </c>
      <c r="H204">
        <v>96</v>
      </c>
      <c r="I204" t="s">
        <v>153</v>
      </c>
      <c r="J204" t="s">
        <v>40</v>
      </c>
      <c r="K204">
        <v>2125551500</v>
      </c>
      <c r="L204" t="s">
        <v>41</v>
      </c>
      <c r="M204" t="s">
        <v>42</v>
      </c>
      <c r="N204" t="s">
        <v>23</v>
      </c>
      <c r="O204" t="s">
        <v>24</v>
      </c>
      <c r="P204">
        <v>10022</v>
      </c>
      <c r="Q204" t="s">
        <v>25</v>
      </c>
      <c r="R204" t="s">
        <v>26</v>
      </c>
      <c r="S204" t="s">
        <v>43</v>
      </c>
      <c r="T204" t="s">
        <v>44</v>
      </c>
      <c r="U204" t="s">
        <v>27</v>
      </c>
    </row>
    <row r="205" spans="1:21" x14ac:dyDescent="0.3">
      <c r="A205">
        <v>10120</v>
      </c>
      <c r="B205">
        <v>22</v>
      </c>
      <c r="C205">
        <v>100</v>
      </c>
      <c r="D205">
        <v>6</v>
      </c>
      <c r="E205">
        <v>2461.36</v>
      </c>
      <c r="F205" s="1" t="s">
        <v>182</v>
      </c>
      <c r="G205" t="s">
        <v>21</v>
      </c>
      <c r="H205">
        <v>99</v>
      </c>
      <c r="I205" t="s">
        <v>154</v>
      </c>
      <c r="J205" t="s">
        <v>30</v>
      </c>
      <c r="K205" t="s">
        <v>31</v>
      </c>
      <c r="L205" t="s">
        <v>32</v>
      </c>
      <c r="M205" t="s">
        <v>33</v>
      </c>
      <c r="N205" t="s">
        <v>34</v>
      </c>
      <c r="O205" t="s">
        <v>35</v>
      </c>
      <c r="P205">
        <v>3004</v>
      </c>
      <c r="Q205" t="s">
        <v>36</v>
      </c>
      <c r="R205" t="s">
        <v>37</v>
      </c>
      <c r="S205" t="s">
        <v>38</v>
      </c>
      <c r="T205" t="s">
        <v>39</v>
      </c>
      <c r="U205" t="s">
        <v>27</v>
      </c>
    </row>
    <row r="206" spans="1:21" x14ac:dyDescent="0.3">
      <c r="A206">
        <v>10223</v>
      </c>
      <c r="B206">
        <v>21</v>
      </c>
      <c r="C206">
        <v>100</v>
      </c>
      <c r="D206">
        <v>7</v>
      </c>
      <c r="E206">
        <v>2475.27</v>
      </c>
      <c r="F206" s="1" t="s">
        <v>177</v>
      </c>
      <c r="G206" t="s">
        <v>21</v>
      </c>
      <c r="H206">
        <v>99</v>
      </c>
      <c r="I206" t="s">
        <v>154</v>
      </c>
      <c r="J206" t="s">
        <v>30</v>
      </c>
      <c r="K206" t="s">
        <v>31</v>
      </c>
      <c r="L206" t="s">
        <v>32</v>
      </c>
      <c r="M206" t="s">
        <v>33</v>
      </c>
      <c r="N206" t="s">
        <v>34</v>
      </c>
      <c r="O206" t="s">
        <v>35</v>
      </c>
      <c r="P206">
        <v>3004</v>
      </c>
      <c r="Q206" t="s">
        <v>36</v>
      </c>
      <c r="R206" t="s">
        <v>37</v>
      </c>
      <c r="S206" t="s">
        <v>38</v>
      </c>
      <c r="T206" t="s">
        <v>39</v>
      </c>
      <c r="U206" t="s">
        <v>27</v>
      </c>
    </row>
    <row r="207" spans="1:21" x14ac:dyDescent="0.3">
      <c r="A207">
        <v>10169</v>
      </c>
      <c r="B207">
        <v>26</v>
      </c>
      <c r="C207">
        <v>39.83</v>
      </c>
      <c r="D207">
        <v>9</v>
      </c>
      <c r="E207">
        <v>1035.58</v>
      </c>
      <c r="F207" s="1">
        <v>37722</v>
      </c>
      <c r="G207" t="s">
        <v>21</v>
      </c>
      <c r="H207">
        <v>40</v>
      </c>
      <c r="I207" t="s">
        <v>155</v>
      </c>
      <c r="J207" t="s">
        <v>61</v>
      </c>
      <c r="K207" t="s">
        <v>62</v>
      </c>
      <c r="L207" t="s">
        <v>63</v>
      </c>
      <c r="M207" t="s">
        <v>64</v>
      </c>
      <c r="N207" t="s">
        <v>65</v>
      </c>
      <c r="O207" t="s">
        <v>52</v>
      </c>
      <c r="P207">
        <v>2060</v>
      </c>
      <c r="Q207" t="s">
        <v>36</v>
      </c>
      <c r="R207" t="s">
        <v>37</v>
      </c>
      <c r="S207" t="s">
        <v>66</v>
      </c>
      <c r="T207" t="s">
        <v>67</v>
      </c>
      <c r="U207" t="s">
        <v>27</v>
      </c>
    </row>
    <row r="208" spans="1:21" x14ac:dyDescent="0.3">
      <c r="A208">
        <v>10237</v>
      </c>
      <c r="B208">
        <v>26</v>
      </c>
      <c r="C208">
        <v>40.229999999999997</v>
      </c>
      <c r="D208">
        <v>2</v>
      </c>
      <c r="E208">
        <v>1045.98</v>
      </c>
      <c r="F208" s="1">
        <v>38111</v>
      </c>
      <c r="G208" t="s">
        <v>21</v>
      </c>
      <c r="H208">
        <v>40</v>
      </c>
      <c r="I208" t="s">
        <v>155</v>
      </c>
      <c r="J208" t="s">
        <v>40</v>
      </c>
      <c r="K208">
        <v>2125551500</v>
      </c>
      <c r="L208" t="s">
        <v>41</v>
      </c>
      <c r="M208" t="s">
        <v>42</v>
      </c>
      <c r="N208" t="s">
        <v>23</v>
      </c>
      <c r="O208" t="s">
        <v>24</v>
      </c>
      <c r="P208">
        <v>10022</v>
      </c>
      <c r="Q208" t="s">
        <v>25</v>
      </c>
      <c r="R208" t="s">
        <v>26</v>
      </c>
      <c r="S208" t="s">
        <v>43</v>
      </c>
      <c r="T208" t="s">
        <v>44</v>
      </c>
      <c r="U208" t="s">
        <v>27</v>
      </c>
    </row>
    <row r="209" spans="1:21" x14ac:dyDescent="0.3">
      <c r="A209">
        <v>10319</v>
      </c>
      <c r="B209">
        <v>29</v>
      </c>
      <c r="C209">
        <v>38.22</v>
      </c>
      <c r="D209">
        <v>5</v>
      </c>
      <c r="E209">
        <v>1108.3800000000001</v>
      </c>
      <c r="F209" s="1">
        <v>38057</v>
      </c>
      <c r="G209" t="s">
        <v>21</v>
      </c>
      <c r="H209">
        <v>40</v>
      </c>
      <c r="I209" t="s">
        <v>155</v>
      </c>
      <c r="J209" t="s">
        <v>81</v>
      </c>
      <c r="K209">
        <v>2125551957</v>
      </c>
      <c r="L209" t="s">
        <v>82</v>
      </c>
      <c r="M209" t="s">
        <v>83</v>
      </c>
      <c r="N209" t="s">
        <v>23</v>
      </c>
      <c r="O209" t="s">
        <v>24</v>
      </c>
      <c r="P209">
        <v>10022</v>
      </c>
      <c r="Q209" t="s">
        <v>25</v>
      </c>
      <c r="R209" t="s">
        <v>26</v>
      </c>
      <c r="S209" t="s">
        <v>84</v>
      </c>
      <c r="T209" t="s">
        <v>85</v>
      </c>
      <c r="U209" t="s">
        <v>27</v>
      </c>
    </row>
    <row r="210" spans="1:21" x14ac:dyDescent="0.3">
      <c r="A210">
        <v>10127</v>
      </c>
      <c r="B210">
        <v>45</v>
      </c>
      <c r="C210">
        <v>51.95</v>
      </c>
      <c r="D210">
        <v>13</v>
      </c>
      <c r="E210">
        <v>2337.75</v>
      </c>
      <c r="F210" s="1">
        <v>37686</v>
      </c>
      <c r="G210" t="s">
        <v>78</v>
      </c>
      <c r="H210">
        <v>54</v>
      </c>
      <c r="I210" t="s">
        <v>156</v>
      </c>
      <c r="J210" t="s">
        <v>74</v>
      </c>
      <c r="K210">
        <v>2125557413</v>
      </c>
      <c r="L210" t="s">
        <v>75</v>
      </c>
      <c r="M210" t="s">
        <v>76</v>
      </c>
      <c r="N210" t="s">
        <v>23</v>
      </c>
      <c r="O210" t="s">
        <v>24</v>
      </c>
      <c r="P210">
        <v>10022</v>
      </c>
      <c r="Q210" t="s">
        <v>25</v>
      </c>
      <c r="R210" t="s">
        <v>26</v>
      </c>
      <c r="S210" t="s">
        <v>29</v>
      </c>
      <c r="T210" t="s">
        <v>77</v>
      </c>
      <c r="U210" t="s">
        <v>27</v>
      </c>
    </row>
    <row r="211" spans="1:21" x14ac:dyDescent="0.3">
      <c r="A211">
        <v>10349</v>
      </c>
      <c r="B211">
        <v>33</v>
      </c>
      <c r="C211">
        <v>46.53</v>
      </c>
      <c r="D211">
        <v>1</v>
      </c>
      <c r="E211">
        <v>1535.49</v>
      </c>
      <c r="F211" s="1">
        <v>37998</v>
      </c>
      <c r="G211" t="s">
        <v>78</v>
      </c>
      <c r="H211">
        <v>54</v>
      </c>
      <c r="I211" t="s">
        <v>156</v>
      </c>
      <c r="J211" t="s">
        <v>74</v>
      </c>
      <c r="K211">
        <v>2125557413</v>
      </c>
      <c r="L211" t="s">
        <v>75</v>
      </c>
      <c r="M211" t="s">
        <v>76</v>
      </c>
      <c r="N211" t="s">
        <v>23</v>
      </c>
      <c r="O211" t="s">
        <v>24</v>
      </c>
      <c r="P211">
        <v>10022</v>
      </c>
      <c r="Q211" t="s">
        <v>25</v>
      </c>
      <c r="R211" t="s">
        <v>26</v>
      </c>
      <c r="S211" t="s">
        <v>29</v>
      </c>
      <c r="T211" t="s">
        <v>77</v>
      </c>
      <c r="U211" t="s">
        <v>27</v>
      </c>
    </row>
    <row r="212" spans="1:21" x14ac:dyDescent="0.3">
      <c r="A212">
        <v>10127</v>
      </c>
      <c r="B212">
        <v>29</v>
      </c>
      <c r="C212">
        <v>70.84</v>
      </c>
      <c r="D212">
        <v>6</v>
      </c>
      <c r="E212">
        <v>2054.36</v>
      </c>
      <c r="F212" s="1">
        <v>37686</v>
      </c>
      <c r="G212" t="s">
        <v>114</v>
      </c>
      <c r="H212">
        <v>62</v>
      </c>
      <c r="I212" t="s">
        <v>157</v>
      </c>
      <c r="J212" t="s">
        <v>74</v>
      </c>
      <c r="K212">
        <v>2125557413</v>
      </c>
      <c r="L212" t="s">
        <v>75</v>
      </c>
      <c r="M212" t="s">
        <v>76</v>
      </c>
      <c r="N212" t="s">
        <v>23</v>
      </c>
      <c r="O212" t="s">
        <v>24</v>
      </c>
      <c r="P212">
        <v>10022</v>
      </c>
      <c r="Q212" t="s">
        <v>25</v>
      </c>
      <c r="R212" t="s">
        <v>26</v>
      </c>
      <c r="S212" t="s">
        <v>29</v>
      </c>
      <c r="T212" t="s">
        <v>77</v>
      </c>
      <c r="U212" t="s">
        <v>27</v>
      </c>
    </row>
    <row r="213" spans="1:21" x14ac:dyDescent="0.3">
      <c r="A213">
        <v>10270</v>
      </c>
      <c r="B213">
        <v>21</v>
      </c>
      <c r="C213">
        <v>63.35</v>
      </c>
      <c r="D213">
        <v>5</v>
      </c>
      <c r="E213">
        <v>1330.35</v>
      </c>
      <c r="F213" s="1" t="s">
        <v>180</v>
      </c>
      <c r="G213" t="s">
        <v>78</v>
      </c>
      <c r="H213">
        <v>64</v>
      </c>
      <c r="I213" t="s">
        <v>158</v>
      </c>
      <c r="J213" t="s">
        <v>47</v>
      </c>
      <c r="K213" t="s">
        <v>48</v>
      </c>
      <c r="L213" t="s">
        <v>49</v>
      </c>
      <c r="M213" t="s">
        <v>50</v>
      </c>
      <c r="N213" t="s">
        <v>51</v>
      </c>
      <c r="O213" t="s">
        <v>52</v>
      </c>
      <c r="P213">
        <v>2067</v>
      </c>
      <c r="Q213" t="s">
        <v>36</v>
      </c>
      <c r="R213" t="s">
        <v>37</v>
      </c>
      <c r="S213" t="s">
        <v>53</v>
      </c>
      <c r="T213" t="s">
        <v>54</v>
      </c>
      <c r="U213" t="s">
        <v>27</v>
      </c>
    </row>
    <row r="214" spans="1:21" x14ac:dyDescent="0.3">
      <c r="A214">
        <v>10324</v>
      </c>
      <c r="B214">
        <v>48</v>
      </c>
      <c r="C214">
        <v>100</v>
      </c>
      <c r="D214">
        <v>4</v>
      </c>
      <c r="E214">
        <v>8209.44</v>
      </c>
      <c r="F214" s="1">
        <v>38118</v>
      </c>
      <c r="G214" t="s">
        <v>78</v>
      </c>
      <c r="H214">
        <v>64</v>
      </c>
      <c r="I214" t="s">
        <v>158</v>
      </c>
      <c r="J214" t="s">
        <v>40</v>
      </c>
      <c r="K214">
        <v>2125551500</v>
      </c>
      <c r="L214" t="s">
        <v>41</v>
      </c>
      <c r="M214" t="s">
        <v>42</v>
      </c>
      <c r="N214" t="s">
        <v>23</v>
      </c>
      <c r="O214" t="s">
        <v>24</v>
      </c>
      <c r="P214">
        <v>10022</v>
      </c>
      <c r="Q214" t="s">
        <v>25</v>
      </c>
      <c r="R214" t="s">
        <v>26</v>
      </c>
      <c r="S214" t="s">
        <v>43</v>
      </c>
      <c r="T214" t="s">
        <v>44</v>
      </c>
      <c r="U214" t="s">
        <v>46</v>
      </c>
    </row>
    <row r="215" spans="1:21" x14ac:dyDescent="0.3">
      <c r="A215">
        <v>10370</v>
      </c>
      <c r="B215">
        <v>25</v>
      </c>
      <c r="C215">
        <v>100</v>
      </c>
      <c r="D215">
        <v>3</v>
      </c>
      <c r="E215">
        <v>3160.25</v>
      </c>
      <c r="F215" s="1" t="s">
        <v>184</v>
      </c>
      <c r="G215" t="s">
        <v>78</v>
      </c>
      <c r="H215">
        <v>64</v>
      </c>
      <c r="I215" t="s">
        <v>158</v>
      </c>
      <c r="J215" t="s">
        <v>61</v>
      </c>
      <c r="K215" t="s">
        <v>62</v>
      </c>
      <c r="L215" t="s">
        <v>63</v>
      </c>
      <c r="M215" t="s">
        <v>64</v>
      </c>
      <c r="N215" t="s">
        <v>65</v>
      </c>
      <c r="O215" t="s">
        <v>52</v>
      </c>
      <c r="P215">
        <v>2060</v>
      </c>
      <c r="Q215" t="s">
        <v>36</v>
      </c>
      <c r="R215" t="s">
        <v>37</v>
      </c>
      <c r="S215" t="s">
        <v>66</v>
      </c>
      <c r="T215" t="s">
        <v>67</v>
      </c>
      <c r="U215" t="s">
        <v>28</v>
      </c>
    </row>
    <row r="216" spans="1:21" x14ac:dyDescent="0.3">
      <c r="A216">
        <v>10120</v>
      </c>
      <c r="B216">
        <v>29</v>
      </c>
      <c r="C216">
        <v>72.23</v>
      </c>
      <c r="D216">
        <v>11</v>
      </c>
      <c r="E216">
        <v>2094.67</v>
      </c>
      <c r="F216" s="1" t="s">
        <v>182</v>
      </c>
      <c r="G216" t="s">
        <v>92</v>
      </c>
      <c r="H216">
        <v>68</v>
      </c>
      <c r="I216" t="s">
        <v>159</v>
      </c>
      <c r="J216" t="s">
        <v>30</v>
      </c>
      <c r="K216" t="s">
        <v>31</v>
      </c>
      <c r="L216" t="s">
        <v>32</v>
      </c>
      <c r="M216" t="s">
        <v>33</v>
      </c>
      <c r="N216" t="s">
        <v>34</v>
      </c>
      <c r="O216" t="s">
        <v>35</v>
      </c>
      <c r="P216">
        <v>3004</v>
      </c>
      <c r="Q216" t="s">
        <v>36</v>
      </c>
      <c r="R216" t="s">
        <v>37</v>
      </c>
      <c r="S216" t="s">
        <v>38</v>
      </c>
      <c r="T216" t="s">
        <v>39</v>
      </c>
      <c r="U216" t="s">
        <v>27</v>
      </c>
    </row>
    <row r="217" spans="1:21" x14ac:dyDescent="0.3">
      <c r="A217">
        <v>10223</v>
      </c>
      <c r="B217">
        <v>20</v>
      </c>
      <c r="C217">
        <v>66.040000000000006</v>
      </c>
      <c r="D217">
        <v>12</v>
      </c>
      <c r="E217">
        <v>1320.8</v>
      </c>
      <c r="F217" s="1" t="s">
        <v>177</v>
      </c>
      <c r="G217" t="s">
        <v>92</v>
      </c>
      <c r="H217">
        <v>68</v>
      </c>
      <c r="I217" t="s">
        <v>159</v>
      </c>
      <c r="J217" t="s">
        <v>30</v>
      </c>
      <c r="K217" t="s">
        <v>31</v>
      </c>
      <c r="L217" t="s">
        <v>32</v>
      </c>
      <c r="M217" t="s">
        <v>33</v>
      </c>
      <c r="N217" t="s">
        <v>34</v>
      </c>
      <c r="O217" t="s">
        <v>35</v>
      </c>
      <c r="P217">
        <v>3004</v>
      </c>
      <c r="Q217" t="s">
        <v>36</v>
      </c>
      <c r="R217" t="s">
        <v>37</v>
      </c>
      <c r="S217" t="s">
        <v>38</v>
      </c>
      <c r="T217" t="s">
        <v>39</v>
      </c>
      <c r="U217" t="s">
        <v>27</v>
      </c>
    </row>
    <row r="218" spans="1:21" x14ac:dyDescent="0.3">
      <c r="A218">
        <v>10361</v>
      </c>
      <c r="B218">
        <v>49</v>
      </c>
      <c r="C218">
        <v>72.33</v>
      </c>
      <c r="D218">
        <v>2</v>
      </c>
      <c r="E218">
        <v>3544.17</v>
      </c>
      <c r="F218" s="1" t="s">
        <v>178</v>
      </c>
      <c r="G218" t="s">
        <v>92</v>
      </c>
      <c r="H218">
        <v>68</v>
      </c>
      <c r="I218" t="s">
        <v>159</v>
      </c>
      <c r="J218" t="s">
        <v>47</v>
      </c>
      <c r="K218" t="s">
        <v>48</v>
      </c>
      <c r="L218" t="s">
        <v>49</v>
      </c>
      <c r="M218" t="s">
        <v>50</v>
      </c>
      <c r="N218" t="s">
        <v>51</v>
      </c>
      <c r="O218" t="s">
        <v>52</v>
      </c>
      <c r="P218">
        <v>2067</v>
      </c>
      <c r="Q218" t="s">
        <v>36</v>
      </c>
      <c r="R218" t="s">
        <v>37</v>
      </c>
      <c r="S218" t="s">
        <v>53</v>
      </c>
      <c r="T218" t="s">
        <v>54</v>
      </c>
      <c r="U218" t="s">
        <v>28</v>
      </c>
    </row>
    <row r="219" spans="1:21" x14ac:dyDescent="0.3">
      <c r="A219">
        <v>10169</v>
      </c>
      <c r="B219">
        <v>34</v>
      </c>
      <c r="C219">
        <v>100</v>
      </c>
      <c r="D219">
        <v>12</v>
      </c>
      <c r="E219">
        <v>3920.88</v>
      </c>
      <c r="F219" s="1">
        <v>37722</v>
      </c>
      <c r="G219" t="s">
        <v>21</v>
      </c>
      <c r="H219">
        <v>102</v>
      </c>
      <c r="I219" t="s">
        <v>160</v>
      </c>
      <c r="J219" t="s">
        <v>61</v>
      </c>
      <c r="K219" t="s">
        <v>62</v>
      </c>
      <c r="L219" t="s">
        <v>63</v>
      </c>
      <c r="M219" t="s">
        <v>64</v>
      </c>
      <c r="N219" t="s">
        <v>65</v>
      </c>
      <c r="O219" t="s">
        <v>52</v>
      </c>
      <c r="P219">
        <v>2060</v>
      </c>
      <c r="Q219" t="s">
        <v>36</v>
      </c>
      <c r="R219" t="s">
        <v>37</v>
      </c>
      <c r="S219" t="s">
        <v>66</v>
      </c>
      <c r="T219" t="s">
        <v>67</v>
      </c>
      <c r="U219" t="s">
        <v>28</v>
      </c>
    </row>
    <row r="220" spans="1:21" x14ac:dyDescent="0.3">
      <c r="A220">
        <v>10237</v>
      </c>
      <c r="B220">
        <v>27</v>
      </c>
      <c r="C220">
        <v>100</v>
      </c>
      <c r="D220">
        <v>5</v>
      </c>
      <c r="E220">
        <v>3113.64</v>
      </c>
      <c r="F220" s="1">
        <v>38111</v>
      </c>
      <c r="G220" t="s">
        <v>21</v>
      </c>
      <c r="H220">
        <v>102</v>
      </c>
      <c r="I220" t="s">
        <v>160</v>
      </c>
      <c r="J220" t="s">
        <v>40</v>
      </c>
      <c r="K220">
        <v>2125551500</v>
      </c>
      <c r="L220" t="s">
        <v>41</v>
      </c>
      <c r="M220" t="s">
        <v>42</v>
      </c>
      <c r="N220" t="s">
        <v>23</v>
      </c>
      <c r="O220" t="s">
        <v>24</v>
      </c>
      <c r="P220">
        <v>10022</v>
      </c>
      <c r="Q220" t="s">
        <v>25</v>
      </c>
      <c r="R220" t="s">
        <v>26</v>
      </c>
      <c r="S220" t="s">
        <v>43</v>
      </c>
      <c r="T220" t="s">
        <v>44</v>
      </c>
      <c r="U220" t="s">
        <v>28</v>
      </c>
    </row>
    <row r="221" spans="1:21" x14ac:dyDescent="0.3">
      <c r="A221">
        <v>10319</v>
      </c>
      <c r="B221">
        <v>22</v>
      </c>
      <c r="C221">
        <v>100</v>
      </c>
      <c r="D221">
        <v>8</v>
      </c>
      <c r="E221">
        <v>2626.8</v>
      </c>
      <c r="F221" s="1">
        <v>38057</v>
      </c>
      <c r="G221" t="s">
        <v>21</v>
      </c>
      <c r="H221">
        <v>102</v>
      </c>
      <c r="I221" t="s">
        <v>160</v>
      </c>
      <c r="J221" t="s">
        <v>81</v>
      </c>
      <c r="K221">
        <v>2125551957</v>
      </c>
      <c r="L221" t="s">
        <v>82</v>
      </c>
      <c r="M221" t="s">
        <v>83</v>
      </c>
      <c r="N221" t="s">
        <v>23</v>
      </c>
      <c r="O221" t="s">
        <v>24</v>
      </c>
      <c r="P221">
        <v>10022</v>
      </c>
      <c r="Q221" t="s">
        <v>25</v>
      </c>
      <c r="R221" t="s">
        <v>26</v>
      </c>
      <c r="S221" t="s">
        <v>84</v>
      </c>
      <c r="T221" t="s">
        <v>85</v>
      </c>
      <c r="U221" t="s">
        <v>27</v>
      </c>
    </row>
    <row r="222" spans="1:21" x14ac:dyDescent="0.3">
      <c r="A222">
        <v>10120</v>
      </c>
      <c r="B222">
        <v>49</v>
      </c>
      <c r="C222">
        <v>50.62</v>
      </c>
      <c r="D222">
        <v>12</v>
      </c>
      <c r="E222">
        <v>2480.38</v>
      </c>
      <c r="F222" s="1" t="s">
        <v>182</v>
      </c>
      <c r="G222" t="s">
        <v>92</v>
      </c>
      <c r="H222">
        <v>43</v>
      </c>
      <c r="I222" t="s">
        <v>161</v>
      </c>
      <c r="J222" t="s">
        <v>30</v>
      </c>
      <c r="K222" t="s">
        <v>31</v>
      </c>
      <c r="L222" t="s">
        <v>32</v>
      </c>
      <c r="M222" t="s">
        <v>33</v>
      </c>
      <c r="N222" t="s">
        <v>34</v>
      </c>
      <c r="O222" t="s">
        <v>35</v>
      </c>
      <c r="P222">
        <v>3004</v>
      </c>
      <c r="Q222" t="s">
        <v>36</v>
      </c>
      <c r="R222" t="s">
        <v>37</v>
      </c>
      <c r="S222" t="s">
        <v>38</v>
      </c>
      <c r="T222" t="s">
        <v>39</v>
      </c>
      <c r="U222" t="s">
        <v>27</v>
      </c>
    </row>
    <row r="223" spans="1:21" x14ac:dyDescent="0.3">
      <c r="A223">
        <v>10223</v>
      </c>
      <c r="B223">
        <v>41</v>
      </c>
      <c r="C223">
        <v>46.26</v>
      </c>
      <c r="D223">
        <v>13</v>
      </c>
      <c r="E223">
        <v>1896.66</v>
      </c>
      <c r="F223" s="1" t="s">
        <v>177</v>
      </c>
      <c r="G223" t="s">
        <v>92</v>
      </c>
      <c r="H223">
        <v>43</v>
      </c>
      <c r="I223" t="s">
        <v>161</v>
      </c>
      <c r="J223" t="s">
        <v>30</v>
      </c>
      <c r="K223" t="s">
        <v>31</v>
      </c>
      <c r="L223" t="s">
        <v>32</v>
      </c>
      <c r="M223" t="s">
        <v>33</v>
      </c>
      <c r="N223" t="s">
        <v>34</v>
      </c>
      <c r="O223" t="s">
        <v>35</v>
      </c>
      <c r="P223">
        <v>3004</v>
      </c>
      <c r="Q223" t="s">
        <v>36</v>
      </c>
      <c r="R223" t="s">
        <v>37</v>
      </c>
      <c r="S223" t="s">
        <v>38</v>
      </c>
      <c r="T223" t="s">
        <v>39</v>
      </c>
      <c r="U223" t="s">
        <v>27</v>
      </c>
    </row>
    <row r="224" spans="1:21" x14ac:dyDescent="0.3">
      <c r="A224">
        <v>10361</v>
      </c>
      <c r="B224">
        <v>33</v>
      </c>
      <c r="C224">
        <v>82.59</v>
      </c>
      <c r="D224">
        <v>3</v>
      </c>
      <c r="E224">
        <v>2725.47</v>
      </c>
      <c r="F224" s="1" t="s">
        <v>178</v>
      </c>
      <c r="G224" t="s">
        <v>92</v>
      </c>
      <c r="H224">
        <v>43</v>
      </c>
      <c r="I224" t="s">
        <v>161</v>
      </c>
      <c r="J224" t="s">
        <v>47</v>
      </c>
      <c r="K224" t="s">
        <v>48</v>
      </c>
      <c r="L224" t="s">
        <v>49</v>
      </c>
      <c r="M224" t="s">
        <v>50</v>
      </c>
      <c r="N224" t="s">
        <v>51</v>
      </c>
      <c r="O224" t="s">
        <v>52</v>
      </c>
      <c r="P224">
        <v>2067</v>
      </c>
      <c r="Q224" t="s">
        <v>36</v>
      </c>
      <c r="R224" t="s">
        <v>37</v>
      </c>
      <c r="S224" t="s">
        <v>53</v>
      </c>
      <c r="T224" t="s">
        <v>54</v>
      </c>
      <c r="U224" t="s">
        <v>27</v>
      </c>
    </row>
    <row r="225" spans="1:21" x14ac:dyDescent="0.3">
      <c r="A225">
        <v>10115</v>
      </c>
      <c r="B225">
        <v>27</v>
      </c>
      <c r="C225">
        <v>100</v>
      </c>
      <c r="D225">
        <v>3</v>
      </c>
      <c r="E225">
        <v>2843.91</v>
      </c>
      <c r="F225" s="1">
        <v>37715</v>
      </c>
      <c r="G225" t="s">
        <v>78</v>
      </c>
      <c r="H225">
        <v>115</v>
      </c>
      <c r="I225" t="s">
        <v>162</v>
      </c>
      <c r="J225" t="s">
        <v>57</v>
      </c>
      <c r="K225">
        <v>2125558493</v>
      </c>
      <c r="L225" t="s">
        <v>58</v>
      </c>
      <c r="M225" t="s">
        <v>59</v>
      </c>
      <c r="N225" t="s">
        <v>23</v>
      </c>
      <c r="O225" t="s">
        <v>24</v>
      </c>
      <c r="P225">
        <v>10022</v>
      </c>
      <c r="Q225" t="s">
        <v>25</v>
      </c>
      <c r="R225" t="s">
        <v>26</v>
      </c>
      <c r="S225" t="s">
        <v>45</v>
      </c>
      <c r="T225" t="s">
        <v>60</v>
      </c>
      <c r="U225" t="s">
        <v>27</v>
      </c>
    </row>
    <row r="226" spans="1:21" x14ac:dyDescent="0.3">
      <c r="A226">
        <v>10127</v>
      </c>
      <c r="B226">
        <v>46</v>
      </c>
      <c r="C226">
        <v>100</v>
      </c>
      <c r="D226">
        <v>9</v>
      </c>
      <c r="E226">
        <v>6176.42</v>
      </c>
      <c r="F226" s="1">
        <v>37686</v>
      </c>
      <c r="G226" t="s">
        <v>78</v>
      </c>
      <c r="H226">
        <v>115</v>
      </c>
      <c r="I226" t="s">
        <v>162</v>
      </c>
      <c r="J226" t="s">
        <v>74</v>
      </c>
      <c r="K226">
        <v>2125557413</v>
      </c>
      <c r="L226" t="s">
        <v>75</v>
      </c>
      <c r="M226" t="s">
        <v>76</v>
      </c>
      <c r="N226" t="s">
        <v>23</v>
      </c>
      <c r="O226" t="s">
        <v>24</v>
      </c>
      <c r="P226">
        <v>10022</v>
      </c>
      <c r="Q226" t="s">
        <v>25</v>
      </c>
      <c r="R226" t="s">
        <v>26</v>
      </c>
      <c r="S226" t="s">
        <v>29</v>
      </c>
      <c r="T226" t="s">
        <v>77</v>
      </c>
      <c r="U226" t="s">
        <v>28</v>
      </c>
    </row>
    <row r="227" spans="1:21" x14ac:dyDescent="0.3">
      <c r="A227">
        <v>10127</v>
      </c>
      <c r="B227">
        <v>46</v>
      </c>
      <c r="C227">
        <v>69.12</v>
      </c>
      <c r="D227">
        <v>4</v>
      </c>
      <c r="E227">
        <v>3179.52</v>
      </c>
      <c r="F227" s="1">
        <v>37686</v>
      </c>
      <c r="G227" t="s">
        <v>114</v>
      </c>
      <c r="H227">
        <v>58</v>
      </c>
      <c r="I227" t="s">
        <v>163</v>
      </c>
      <c r="J227" t="s">
        <v>74</v>
      </c>
      <c r="K227">
        <v>2125557413</v>
      </c>
      <c r="L227" t="s">
        <v>75</v>
      </c>
      <c r="M227" t="s">
        <v>76</v>
      </c>
      <c r="N227" t="s">
        <v>23</v>
      </c>
      <c r="O227" t="s">
        <v>24</v>
      </c>
      <c r="P227">
        <v>10022</v>
      </c>
      <c r="Q227" t="s">
        <v>25</v>
      </c>
      <c r="R227" t="s">
        <v>26</v>
      </c>
      <c r="S227" t="s">
        <v>29</v>
      </c>
      <c r="T227" t="s">
        <v>77</v>
      </c>
      <c r="U227" t="s">
        <v>28</v>
      </c>
    </row>
    <row r="228" spans="1:21" x14ac:dyDescent="0.3">
      <c r="A228">
        <v>10337</v>
      </c>
      <c r="B228">
        <v>21</v>
      </c>
      <c r="C228">
        <v>100</v>
      </c>
      <c r="D228">
        <v>6</v>
      </c>
      <c r="E228">
        <v>2296.77</v>
      </c>
      <c r="F228" s="1" t="s">
        <v>183</v>
      </c>
      <c r="G228" t="s">
        <v>114</v>
      </c>
      <c r="H228">
        <v>58</v>
      </c>
      <c r="I228" t="s">
        <v>163</v>
      </c>
      <c r="J228" t="s">
        <v>57</v>
      </c>
      <c r="K228">
        <v>2125558493</v>
      </c>
      <c r="L228" t="s">
        <v>58</v>
      </c>
      <c r="M228" t="s">
        <v>59</v>
      </c>
      <c r="N228" t="s">
        <v>23</v>
      </c>
      <c r="O228" t="s">
        <v>24</v>
      </c>
      <c r="P228">
        <v>10022</v>
      </c>
      <c r="Q228" t="s">
        <v>25</v>
      </c>
      <c r="R228" t="s">
        <v>26</v>
      </c>
      <c r="S228" t="s">
        <v>45</v>
      </c>
      <c r="T228" t="s">
        <v>60</v>
      </c>
      <c r="U228" t="s">
        <v>27</v>
      </c>
    </row>
    <row r="229" spans="1:21" x14ac:dyDescent="0.3">
      <c r="A229">
        <v>10169</v>
      </c>
      <c r="B229">
        <v>48</v>
      </c>
      <c r="C229">
        <v>80.55</v>
      </c>
      <c r="D229">
        <v>10</v>
      </c>
      <c r="E229">
        <v>3866.4</v>
      </c>
      <c r="F229" s="1">
        <v>37722</v>
      </c>
      <c r="G229" t="s">
        <v>21</v>
      </c>
      <c r="H229">
        <v>81</v>
      </c>
      <c r="I229" t="s">
        <v>164</v>
      </c>
      <c r="J229" t="s">
        <v>61</v>
      </c>
      <c r="K229" t="s">
        <v>62</v>
      </c>
      <c r="L229" t="s">
        <v>63</v>
      </c>
      <c r="M229" t="s">
        <v>64</v>
      </c>
      <c r="N229" t="s">
        <v>65</v>
      </c>
      <c r="O229" t="s">
        <v>52</v>
      </c>
      <c r="P229">
        <v>2060</v>
      </c>
      <c r="Q229" t="s">
        <v>36</v>
      </c>
      <c r="R229" t="s">
        <v>37</v>
      </c>
      <c r="S229" t="s">
        <v>66</v>
      </c>
      <c r="T229" t="s">
        <v>67</v>
      </c>
      <c r="U229" t="s">
        <v>28</v>
      </c>
    </row>
    <row r="230" spans="1:21" x14ac:dyDescent="0.3">
      <c r="A230">
        <v>10237</v>
      </c>
      <c r="B230">
        <v>20</v>
      </c>
      <c r="C230">
        <v>68.34</v>
      </c>
      <c r="D230">
        <v>3</v>
      </c>
      <c r="E230">
        <v>1366.8</v>
      </c>
      <c r="F230" s="1">
        <v>38111</v>
      </c>
      <c r="G230" t="s">
        <v>21</v>
      </c>
      <c r="H230">
        <v>81</v>
      </c>
      <c r="I230" t="s">
        <v>164</v>
      </c>
      <c r="J230" t="s">
        <v>40</v>
      </c>
      <c r="K230">
        <v>2125551500</v>
      </c>
      <c r="L230" t="s">
        <v>41</v>
      </c>
      <c r="M230" t="s">
        <v>42</v>
      </c>
      <c r="N230" t="s">
        <v>23</v>
      </c>
      <c r="O230" t="s">
        <v>24</v>
      </c>
      <c r="P230">
        <v>10022</v>
      </c>
      <c r="Q230" t="s">
        <v>25</v>
      </c>
      <c r="R230" t="s">
        <v>26</v>
      </c>
      <c r="S230" t="s">
        <v>43</v>
      </c>
      <c r="T230" t="s">
        <v>44</v>
      </c>
      <c r="U230" t="s">
        <v>27</v>
      </c>
    </row>
    <row r="231" spans="1:21" x14ac:dyDescent="0.3">
      <c r="A231">
        <v>10319</v>
      </c>
      <c r="B231">
        <v>45</v>
      </c>
      <c r="C231">
        <v>77.290000000000006</v>
      </c>
      <c r="D231">
        <v>6</v>
      </c>
      <c r="E231">
        <v>3478.05</v>
      </c>
      <c r="F231" s="1">
        <v>38057</v>
      </c>
      <c r="G231" t="s">
        <v>21</v>
      </c>
      <c r="H231">
        <v>81</v>
      </c>
      <c r="I231" t="s">
        <v>164</v>
      </c>
      <c r="J231" t="s">
        <v>81</v>
      </c>
      <c r="K231">
        <v>2125551957</v>
      </c>
      <c r="L231" t="s">
        <v>82</v>
      </c>
      <c r="M231" t="s">
        <v>83</v>
      </c>
      <c r="N231" t="s">
        <v>23</v>
      </c>
      <c r="O231" t="s">
        <v>24</v>
      </c>
      <c r="P231">
        <v>10022</v>
      </c>
      <c r="Q231" t="s">
        <v>25</v>
      </c>
      <c r="R231" t="s">
        <v>26</v>
      </c>
      <c r="S231" t="s">
        <v>84</v>
      </c>
      <c r="T231" t="s">
        <v>85</v>
      </c>
      <c r="U231" t="s">
        <v>28</v>
      </c>
    </row>
    <row r="232" spans="1:21" x14ac:dyDescent="0.3">
      <c r="A232">
        <v>10120</v>
      </c>
      <c r="B232">
        <v>47</v>
      </c>
      <c r="C232">
        <v>82.21</v>
      </c>
      <c r="D232">
        <v>13</v>
      </c>
      <c r="E232">
        <v>3863.87</v>
      </c>
      <c r="F232" s="1" t="s">
        <v>182</v>
      </c>
      <c r="G232" t="s">
        <v>96</v>
      </c>
      <c r="H232">
        <v>91</v>
      </c>
      <c r="I232" t="s">
        <v>165</v>
      </c>
      <c r="J232" t="s">
        <v>30</v>
      </c>
      <c r="K232" t="s">
        <v>31</v>
      </c>
      <c r="L232" t="s">
        <v>32</v>
      </c>
      <c r="M232" t="s">
        <v>33</v>
      </c>
      <c r="N232" t="s">
        <v>34</v>
      </c>
      <c r="O232" t="s">
        <v>35</v>
      </c>
      <c r="P232">
        <v>3004</v>
      </c>
      <c r="Q232" t="s">
        <v>36</v>
      </c>
      <c r="R232" t="s">
        <v>37</v>
      </c>
      <c r="S232" t="s">
        <v>38</v>
      </c>
      <c r="T232" t="s">
        <v>39</v>
      </c>
      <c r="U232" t="s">
        <v>28</v>
      </c>
    </row>
    <row r="233" spans="1:21" x14ac:dyDescent="0.3">
      <c r="A233">
        <v>10223</v>
      </c>
      <c r="B233">
        <v>25</v>
      </c>
      <c r="C233">
        <v>100</v>
      </c>
      <c r="D233">
        <v>14</v>
      </c>
      <c r="E233">
        <v>2534.75</v>
      </c>
      <c r="F233" s="1" t="s">
        <v>177</v>
      </c>
      <c r="G233" t="s">
        <v>96</v>
      </c>
      <c r="H233">
        <v>91</v>
      </c>
      <c r="I233" t="s">
        <v>165</v>
      </c>
      <c r="J233" t="s">
        <v>30</v>
      </c>
      <c r="K233" t="s">
        <v>31</v>
      </c>
      <c r="L233" t="s">
        <v>32</v>
      </c>
      <c r="M233" t="s">
        <v>33</v>
      </c>
      <c r="N233" t="s">
        <v>34</v>
      </c>
      <c r="O233" t="s">
        <v>35</v>
      </c>
      <c r="P233">
        <v>3004</v>
      </c>
      <c r="Q233" t="s">
        <v>36</v>
      </c>
      <c r="R233" t="s">
        <v>37</v>
      </c>
      <c r="S233" t="s">
        <v>38</v>
      </c>
      <c r="T233" t="s">
        <v>39</v>
      </c>
      <c r="U233" t="s">
        <v>27</v>
      </c>
    </row>
    <row r="234" spans="1:21" x14ac:dyDescent="0.3">
      <c r="A234">
        <v>10361</v>
      </c>
      <c r="B234">
        <v>20</v>
      </c>
      <c r="C234">
        <v>60.54</v>
      </c>
      <c r="D234">
        <v>4</v>
      </c>
      <c r="E234">
        <v>1210.8</v>
      </c>
      <c r="F234" s="1" t="s">
        <v>178</v>
      </c>
      <c r="G234" t="s">
        <v>96</v>
      </c>
      <c r="H234">
        <v>91</v>
      </c>
      <c r="I234" t="s">
        <v>165</v>
      </c>
      <c r="J234" t="s">
        <v>47</v>
      </c>
      <c r="K234" t="s">
        <v>48</v>
      </c>
      <c r="L234" t="s">
        <v>49</v>
      </c>
      <c r="M234" t="s">
        <v>50</v>
      </c>
      <c r="N234" t="s">
        <v>51</v>
      </c>
      <c r="O234" t="s">
        <v>52</v>
      </c>
      <c r="P234">
        <v>2067</v>
      </c>
      <c r="Q234" t="s">
        <v>36</v>
      </c>
      <c r="R234" t="s">
        <v>37</v>
      </c>
      <c r="S234" t="s">
        <v>53</v>
      </c>
      <c r="T234" t="s">
        <v>54</v>
      </c>
      <c r="U234" t="s">
        <v>27</v>
      </c>
    </row>
    <row r="235" spans="1:21" x14ac:dyDescent="0.3">
      <c r="A235">
        <v>10337</v>
      </c>
      <c r="B235">
        <v>36</v>
      </c>
      <c r="C235">
        <v>70.3</v>
      </c>
      <c r="D235">
        <v>9</v>
      </c>
      <c r="E235">
        <v>2530.8000000000002</v>
      </c>
      <c r="F235" s="1" t="s">
        <v>183</v>
      </c>
      <c r="G235" t="s">
        <v>111</v>
      </c>
      <c r="H235">
        <v>86</v>
      </c>
      <c r="I235" t="s">
        <v>166</v>
      </c>
      <c r="J235" t="s">
        <v>57</v>
      </c>
      <c r="K235">
        <v>2125558493</v>
      </c>
      <c r="L235" t="s">
        <v>58</v>
      </c>
      <c r="M235" t="s">
        <v>59</v>
      </c>
      <c r="N235" t="s">
        <v>23</v>
      </c>
      <c r="O235" t="s">
        <v>24</v>
      </c>
      <c r="P235">
        <v>10022</v>
      </c>
      <c r="Q235" t="s">
        <v>25</v>
      </c>
      <c r="R235" t="s">
        <v>26</v>
      </c>
      <c r="S235" t="s">
        <v>45</v>
      </c>
      <c r="T235" t="s">
        <v>60</v>
      </c>
      <c r="U235" t="s">
        <v>27</v>
      </c>
    </row>
    <row r="236" spans="1:21" x14ac:dyDescent="0.3">
      <c r="A236">
        <v>10361</v>
      </c>
      <c r="B236">
        <v>24</v>
      </c>
      <c r="C236">
        <v>45.39</v>
      </c>
      <c r="D236">
        <v>14</v>
      </c>
      <c r="E236">
        <v>1089.3599999999999</v>
      </c>
      <c r="F236" s="1" t="s">
        <v>178</v>
      </c>
      <c r="G236" t="s">
        <v>111</v>
      </c>
      <c r="H236">
        <v>90</v>
      </c>
      <c r="I236" t="s">
        <v>167</v>
      </c>
      <c r="J236" t="s">
        <v>47</v>
      </c>
      <c r="K236" t="s">
        <v>48</v>
      </c>
      <c r="L236" t="s">
        <v>49</v>
      </c>
      <c r="M236" t="s">
        <v>50</v>
      </c>
      <c r="N236" t="s">
        <v>51</v>
      </c>
      <c r="O236" t="s">
        <v>52</v>
      </c>
      <c r="P236">
        <v>2067</v>
      </c>
      <c r="Q236" t="s">
        <v>36</v>
      </c>
      <c r="R236" t="s">
        <v>37</v>
      </c>
      <c r="S236" t="s">
        <v>53</v>
      </c>
      <c r="T236" t="s">
        <v>54</v>
      </c>
      <c r="U236" t="s">
        <v>27</v>
      </c>
    </row>
    <row r="237" spans="1:21" x14ac:dyDescent="0.3">
      <c r="A237">
        <v>10120</v>
      </c>
      <c r="B237">
        <v>24</v>
      </c>
      <c r="C237">
        <v>100</v>
      </c>
      <c r="D237">
        <v>15</v>
      </c>
      <c r="E237">
        <v>2584.8000000000002</v>
      </c>
      <c r="F237" s="1" t="s">
        <v>182</v>
      </c>
      <c r="G237" t="s">
        <v>96</v>
      </c>
      <c r="H237">
        <v>99</v>
      </c>
      <c r="I237" t="s">
        <v>168</v>
      </c>
      <c r="J237" t="s">
        <v>30</v>
      </c>
      <c r="K237" t="s">
        <v>31</v>
      </c>
      <c r="L237" t="s">
        <v>32</v>
      </c>
      <c r="M237" t="s">
        <v>33</v>
      </c>
      <c r="N237" t="s">
        <v>34</v>
      </c>
      <c r="O237" t="s">
        <v>35</v>
      </c>
      <c r="P237">
        <v>3004</v>
      </c>
      <c r="Q237" t="s">
        <v>36</v>
      </c>
      <c r="R237" t="s">
        <v>37</v>
      </c>
      <c r="S237" t="s">
        <v>38</v>
      </c>
      <c r="T237" t="s">
        <v>39</v>
      </c>
      <c r="U237" t="s">
        <v>27</v>
      </c>
    </row>
    <row r="238" spans="1:21" x14ac:dyDescent="0.3">
      <c r="A238">
        <v>10361</v>
      </c>
      <c r="B238">
        <v>26</v>
      </c>
      <c r="C238">
        <v>100</v>
      </c>
      <c r="D238">
        <v>9</v>
      </c>
      <c r="E238">
        <v>2754.7</v>
      </c>
      <c r="F238" s="1" t="s">
        <v>178</v>
      </c>
      <c r="G238" t="s">
        <v>96</v>
      </c>
      <c r="H238">
        <v>99</v>
      </c>
      <c r="I238" t="s">
        <v>168</v>
      </c>
      <c r="J238" t="s">
        <v>47</v>
      </c>
      <c r="K238" t="s">
        <v>48</v>
      </c>
      <c r="L238" t="s">
        <v>49</v>
      </c>
      <c r="M238" t="s">
        <v>50</v>
      </c>
      <c r="N238" t="s">
        <v>51</v>
      </c>
      <c r="O238" t="s">
        <v>52</v>
      </c>
      <c r="P238">
        <v>2067</v>
      </c>
      <c r="Q238" t="s">
        <v>36</v>
      </c>
      <c r="R238" t="s">
        <v>37</v>
      </c>
      <c r="S238" t="s">
        <v>53</v>
      </c>
      <c r="T238" t="s">
        <v>54</v>
      </c>
      <c r="U238" t="s">
        <v>27</v>
      </c>
    </row>
    <row r="239" spans="1:21" x14ac:dyDescent="0.3">
      <c r="A239">
        <v>10270</v>
      </c>
      <c r="B239">
        <v>46</v>
      </c>
      <c r="C239">
        <v>88</v>
      </c>
      <c r="D239">
        <v>4</v>
      </c>
      <c r="E239">
        <v>4048</v>
      </c>
      <c r="F239" s="1" t="s">
        <v>180</v>
      </c>
      <c r="G239" t="s">
        <v>55</v>
      </c>
      <c r="H239">
        <v>101</v>
      </c>
      <c r="I239" t="s">
        <v>169</v>
      </c>
      <c r="J239" t="s">
        <v>47</v>
      </c>
      <c r="K239" t="s">
        <v>48</v>
      </c>
      <c r="L239" t="s">
        <v>49</v>
      </c>
      <c r="M239" t="s">
        <v>50</v>
      </c>
      <c r="N239" t="s">
        <v>51</v>
      </c>
      <c r="O239" t="s">
        <v>52</v>
      </c>
      <c r="P239">
        <v>2067</v>
      </c>
      <c r="Q239" t="s">
        <v>36</v>
      </c>
      <c r="R239" t="s">
        <v>37</v>
      </c>
      <c r="S239" t="s">
        <v>53</v>
      </c>
      <c r="T239" t="s">
        <v>54</v>
      </c>
      <c r="U239" t="s">
        <v>28</v>
      </c>
    </row>
    <row r="240" spans="1:21" x14ac:dyDescent="0.3">
      <c r="A240">
        <v>10324</v>
      </c>
      <c r="B240">
        <v>34</v>
      </c>
      <c r="C240">
        <v>100</v>
      </c>
      <c r="D240">
        <v>5</v>
      </c>
      <c r="E240">
        <v>4248.3</v>
      </c>
      <c r="F240" s="1">
        <v>38118</v>
      </c>
      <c r="G240" t="s">
        <v>55</v>
      </c>
      <c r="H240">
        <v>101</v>
      </c>
      <c r="I240" t="s">
        <v>169</v>
      </c>
      <c r="J240" t="s">
        <v>40</v>
      </c>
      <c r="K240">
        <v>2125551500</v>
      </c>
      <c r="L240" t="s">
        <v>41</v>
      </c>
      <c r="M240" t="s">
        <v>42</v>
      </c>
      <c r="N240" t="s">
        <v>23</v>
      </c>
      <c r="O240" t="s">
        <v>24</v>
      </c>
      <c r="P240">
        <v>10022</v>
      </c>
      <c r="Q240" t="s">
        <v>25</v>
      </c>
      <c r="R240" t="s">
        <v>26</v>
      </c>
      <c r="S240" t="s">
        <v>43</v>
      </c>
      <c r="T240" t="s">
        <v>44</v>
      </c>
      <c r="U240" t="s">
        <v>28</v>
      </c>
    </row>
    <row r="241" spans="1:21" x14ac:dyDescent="0.3">
      <c r="A241">
        <v>10120</v>
      </c>
      <c r="B241">
        <v>24</v>
      </c>
      <c r="C241">
        <v>100</v>
      </c>
      <c r="D241">
        <v>7</v>
      </c>
      <c r="E241">
        <v>3417.12</v>
      </c>
      <c r="F241" s="1" t="s">
        <v>182</v>
      </c>
      <c r="G241" t="s">
        <v>96</v>
      </c>
      <c r="H241">
        <v>118</v>
      </c>
      <c r="I241" t="s">
        <v>170</v>
      </c>
      <c r="J241" t="s">
        <v>30</v>
      </c>
      <c r="K241" t="s">
        <v>31</v>
      </c>
      <c r="L241" t="s">
        <v>32</v>
      </c>
      <c r="M241" t="s">
        <v>33</v>
      </c>
      <c r="N241" t="s">
        <v>34</v>
      </c>
      <c r="O241" t="s">
        <v>35</v>
      </c>
      <c r="P241">
        <v>3004</v>
      </c>
      <c r="Q241" t="s">
        <v>36</v>
      </c>
      <c r="R241" t="s">
        <v>37</v>
      </c>
      <c r="S241" t="s">
        <v>38</v>
      </c>
      <c r="T241" t="s">
        <v>39</v>
      </c>
      <c r="U241" t="s">
        <v>28</v>
      </c>
    </row>
    <row r="242" spans="1:21" x14ac:dyDescent="0.3">
      <c r="A242">
        <v>10223</v>
      </c>
      <c r="B242">
        <v>29</v>
      </c>
      <c r="C242">
        <v>100</v>
      </c>
      <c r="D242">
        <v>8</v>
      </c>
      <c r="E242">
        <v>3199.86</v>
      </c>
      <c r="F242" s="1" t="s">
        <v>177</v>
      </c>
      <c r="G242" t="s">
        <v>96</v>
      </c>
      <c r="H242">
        <v>118</v>
      </c>
      <c r="I242" t="s">
        <v>170</v>
      </c>
      <c r="J242" t="s">
        <v>30</v>
      </c>
      <c r="K242" t="s">
        <v>31</v>
      </c>
      <c r="L242" t="s">
        <v>32</v>
      </c>
      <c r="M242" t="s">
        <v>33</v>
      </c>
      <c r="N242" t="s">
        <v>34</v>
      </c>
      <c r="O242" t="s">
        <v>35</v>
      </c>
      <c r="P242">
        <v>3004</v>
      </c>
      <c r="Q242" t="s">
        <v>36</v>
      </c>
      <c r="R242" t="s">
        <v>37</v>
      </c>
      <c r="S242" t="s">
        <v>38</v>
      </c>
      <c r="T242" t="s">
        <v>39</v>
      </c>
      <c r="U242" t="s">
        <v>28</v>
      </c>
    </row>
    <row r="243" spans="1:21" x14ac:dyDescent="0.3">
      <c r="A243">
        <v>10361</v>
      </c>
      <c r="B243">
        <v>44</v>
      </c>
      <c r="C243">
        <v>72.42</v>
      </c>
      <c r="D243">
        <v>5</v>
      </c>
      <c r="E243">
        <v>3186.48</v>
      </c>
      <c r="F243" s="1" t="s">
        <v>178</v>
      </c>
      <c r="G243" t="s">
        <v>96</v>
      </c>
      <c r="H243">
        <v>118</v>
      </c>
      <c r="I243" t="s">
        <v>170</v>
      </c>
      <c r="J243" t="s">
        <v>47</v>
      </c>
      <c r="K243" t="s">
        <v>48</v>
      </c>
      <c r="L243" t="s">
        <v>49</v>
      </c>
      <c r="M243" t="s">
        <v>50</v>
      </c>
      <c r="N243" t="s">
        <v>51</v>
      </c>
      <c r="O243" t="s">
        <v>52</v>
      </c>
      <c r="P243">
        <v>2067</v>
      </c>
      <c r="Q243" t="s">
        <v>36</v>
      </c>
      <c r="R243" t="s">
        <v>37</v>
      </c>
      <c r="S243" t="s">
        <v>53</v>
      </c>
      <c r="T243" t="s">
        <v>54</v>
      </c>
      <c r="U243" t="s">
        <v>28</v>
      </c>
    </row>
    <row r="244" spans="1:21" x14ac:dyDescent="0.3">
      <c r="A244">
        <v>10120</v>
      </c>
      <c r="B244">
        <v>43</v>
      </c>
      <c r="C244">
        <v>76</v>
      </c>
      <c r="D244">
        <v>14</v>
      </c>
      <c r="E244">
        <v>3268</v>
      </c>
      <c r="F244" s="1" t="s">
        <v>182</v>
      </c>
      <c r="G244" t="s">
        <v>96</v>
      </c>
      <c r="H244">
        <v>80</v>
      </c>
      <c r="I244" t="s">
        <v>171</v>
      </c>
      <c r="J244" t="s">
        <v>30</v>
      </c>
      <c r="K244" t="s">
        <v>31</v>
      </c>
      <c r="L244" t="s">
        <v>32</v>
      </c>
      <c r="M244" t="s">
        <v>33</v>
      </c>
      <c r="N244" t="s">
        <v>34</v>
      </c>
      <c r="O244" t="s">
        <v>35</v>
      </c>
      <c r="P244">
        <v>3004</v>
      </c>
      <c r="Q244" t="s">
        <v>36</v>
      </c>
      <c r="R244" t="s">
        <v>37</v>
      </c>
      <c r="S244" t="s">
        <v>38</v>
      </c>
      <c r="T244" t="s">
        <v>39</v>
      </c>
      <c r="U244" t="s">
        <v>28</v>
      </c>
    </row>
    <row r="245" spans="1:21" x14ac:dyDescent="0.3">
      <c r="A245">
        <v>10223</v>
      </c>
      <c r="B245">
        <v>26</v>
      </c>
      <c r="C245">
        <v>67.2</v>
      </c>
      <c r="D245">
        <v>15</v>
      </c>
      <c r="E245">
        <v>1747.2</v>
      </c>
      <c r="F245" s="1" t="s">
        <v>177</v>
      </c>
      <c r="G245" t="s">
        <v>96</v>
      </c>
      <c r="H245">
        <v>80</v>
      </c>
      <c r="I245" t="s">
        <v>171</v>
      </c>
      <c r="J245" t="s">
        <v>30</v>
      </c>
      <c r="K245" t="s">
        <v>31</v>
      </c>
      <c r="L245" t="s">
        <v>32</v>
      </c>
      <c r="M245" t="s">
        <v>33</v>
      </c>
      <c r="N245" t="s">
        <v>34</v>
      </c>
      <c r="O245" t="s">
        <v>35</v>
      </c>
      <c r="P245">
        <v>3004</v>
      </c>
      <c r="Q245" t="s">
        <v>36</v>
      </c>
      <c r="R245" t="s">
        <v>37</v>
      </c>
      <c r="S245" t="s">
        <v>38</v>
      </c>
      <c r="T245" t="s">
        <v>39</v>
      </c>
      <c r="U245" t="s">
        <v>27</v>
      </c>
    </row>
    <row r="246" spans="1:21" x14ac:dyDescent="0.3">
      <c r="A246">
        <v>10361</v>
      </c>
      <c r="B246">
        <v>44</v>
      </c>
      <c r="C246">
        <v>100</v>
      </c>
      <c r="D246">
        <v>10</v>
      </c>
      <c r="E246">
        <v>5001.92</v>
      </c>
      <c r="F246" s="1" t="s">
        <v>178</v>
      </c>
      <c r="G246" t="s">
        <v>96</v>
      </c>
      <c r="H246">
        <v>80</v>
      </c>
      <c r="I246" t="s">
        <v>171</v>
      </c>
      <c r="J246" t="s">
        <v>47</v>
      </c>
      <c r="K246" t="s">
        <v>48</v>
      </c>
      <c r="L246" t="s">
        <v>49</v>
      </c>
      <c r="M246" t="s">
        <v>50</v>
      </c>
      <c r="N246" t="s">
        <v>51</v>
      </c>
      <c r="O246" t="s">
        <v>52</v>
      </c>
      <c r="P246">
        <v>2067</v>
      </c>
      <c r="Q246" t="s">
        <v>36</v>
      </c>
      <c r="R246" t="s">
        <v>37</v>
      </c>
      <c r="S246" t="s">
        <v>53</v>
      </c>
      <c r="T246" t="s">
        <v>54</v>
      </c>
      <c r="U246" t="s">
        <v>28</v>
      </c>
    </row>
    <row r="247" spans="1:21" x14ac:dyDescent="0.3">
      <c r="A247">
        <v>10337</v>
      </c>
      <c r="B247">
        <v>31</v>
      </c>
      <c r="C247">
        <v>89.38</v>
      </c>
      <c r="D247">
        <v>1</v>
      </c>
      <c r="E247">
        <v>2770.78</v>
      </c>
      <c r="F247" s="1" t="s">
        <v>183</v>
      </c>
      <c r="G247" t="s">
        <v>111</v>
      </c>
      <c r="H247">
        <v>100</v>
      </c>
      <c r="I247" t="s">
        <v>172</v>
      </c>
      <c r="J247" t="s">
        <v>57</v>
      </c>
      <c r="K247">
        <v>2125558493</v>
      </c>
      <c r="L247" t="s">
        <v>58</v>
      </c>
      <c r="M247" t="s">
        <v>59</v>
      </c>
      <c r="N247" t="s">
        <v>23</v>
      </c>
      <c r="O247" t="s">
        <v>24</v>
      </c>
      <c r="P247">
        <v>10022</v>
      </c>
      <c r="Q247" t="s">
        <v>25</v>
      </c>
      <c r="R247" t="s">
        <v>26</v>
      </c>
      <c r="S247" t="s">
        <v>45</v>
      </c>
      <c r="T247" t="s">
        <v>60</v>
      </c>
      <c r="U247" t="s">
        <v>27</v>
      </c>
    </row>
    <row r="248" spans="1:21" x14ac:dyDescent="0.3">
      <c r="A248">
        <v>10337</v>
      </c>
      <c r="B248">
        <v>36</v>
      </c>
      <c r="C248">
        <v>71.89</v>
      </c>
      <c r="D248">
        <v>7</v>
      </c>
      <c r="E248">
        <v>2588.04</v>
      </c>
      <c r="F248" s="1" t="s">
        <v>183</v>
      </c>
      <c r="G248" t="s">
        <v>111</v>
      </c>
      <c r="H248">
        <v>99</v>
      </c>
      <c r="I248" t="s">
        <v>173</v>
      </c>
      <c r="J248" t="s">
        <v>57</v>
      </c>
      <c r="K248">
        <v>2125558493</v>
      </c>
      <c r="L248" t="s">
        <v>58</v>
      </c>
      <c r="M248" t="s">
        <v>59</v>
      </c>
      <c r="N248" t="s">
        <v>23</v>
      </c>
      <c r="O248" t="s">
        <v>24</v>
      </c>
      <c r="P248">
        <v>10022</v>
      </c>
      <c r="Q248" t="s">
        <v>25</v>
      </c>
      <c r="R248" t="s">
        <v>26</v>
      </c>
      <c r="S248" t="s">
        <v>45</v>
      </c>
      <c r="T248" t="s">
        <v>60</v>
      </c>
      <c r="U248" t="s">
        <v>27</v>
      </c>
    </row>
    <row r="249" spans="1:21" x14ac:dyDescent="0.3">
      <c r="A249">
        <v>10361</v>
      </c>
      <c r="B249">
        <v>35</v>
      </c>
      <c r="C249">
        <v>100</v>
      </c>
      <c r="D249">
        <v>11</v>
      </c>
      <c r="E249">
        <v>4277.3500000000004</v>
      </c>
      <c r="F249" s="1" t="s">
        <v>178</v>
      </c>
      <c r="G249" t="s">
        <v>96</v>
      </c>
      <c r="H249">
        <v>74</v>
      </c>
      <c r="I249" t="s">
        <v>174</v>
      </c>
      <c r="J249" t="s">
        <v>47</v>
      </c>
      <c r="K249" t="s">
        <v>48</v>
      </c>
      <c r="L249" t="s">
        <v>49</v>
      </c>
      <c r="M249" t="s">
        <v>50</v>
      </c>
      <c r="N249" t="s">
        <v>51</v>
      </c>
      <c r="O249" t="s">
        <v>52</v>
      </c>
      <c r="P249">
        <v>2067</v>
      </c>
      <c r="Q249" t="s">
        <v>36</v>
      </c>
      <c r="R249" t="s">
        <v>37</v>
      </c>
      <c r="S249" t="s">
        <v>53</v>
      </c>
      <c r="T249" t="s">
        <v>54</v>
      </c>
      <c r="U249" t="s">
        <v>28</v>
      </c>
    </row>
    <row r="250" spans="1:21" x14ac:dyDescent="0.3">
      <c r="A250">
        <v>10361</v>
      </c>
      <c r="B250">
        <v>23</v>
      </c>
      <c r="C250">
        <v>95.2</v>
      </c>
      <c r="D250">
        <v>12</v>
      </c>
      <c r="E250">
        <v>2189.6</v>
      </c>
      <c r="F250" s="1" t="s">
        <v>178</v>
      </c>
      <c r="G250" t="s">
        <v>96</v>
      </c>
      <c r="H250">
        <v>49</v>
      </c>
      <c r="I250" t="s">
        <v>175</v>
      </c>
      <c r="J250" t="s">
        <v>47</v>
      </c>
      <c r="K250" t="s">
        <v>48</v>
      </c>
      <c r="L250" t="s">
        <v>49</v>
      </c>
      <c r="M250" t="s">
        <v>50</v>
      </c>
      <c r="N250" t="s">
        <v>51</v>
      </c>
      <c r="O250" t="s">
        <v>52</v>
      </c>
      <c r="P250">
        <v>2067</v>
      </c>
      <c r="Q250" t="s">
        <v>36</v>
      </c>
      <c r="R250" t="s">
        <v>37</v>
      </c>
      <c r="S250" t="s">
        <v>53</v>
      </c>
      <c r="T250" t="s">
        <v>54</v>
      </c>
      <c r="U250" t="s">
        <v>27</v>
      </c>
    </row>
    <row r="251" spans="1:21" x14ac:dyDescent="0.3">
      <c r="A251">
        <v>10337</v>
      </c>
      <c r="B251">
        <v>42</v>
      </c>
      <c r="C251">
        <v>97.16</v>
      </c>
      <c r="D251">
        <v>5</v>
      </c>
      <c r="E251">
        <v>4080.72</v>
      </c>
      <c r="F251" s="1" t="s">
        <v>183</v>
      </c>
      <c r="G251" t="s">
        <v>111</v>
      </c>
      <c r="H251">
        <v>54</v>
      </c>
      <c r="I251" t="s">
        <v>176</v>
      </c>
      <c r="J251" t="s">
        <v>57</v>
      </c>
      <c r="K251">
        <v>2125558493</v>
      </c>
      <c r="L251" t="s">
        <v>58</v>
      </c>
      <c r="M251" t="s">
        <v>59</v>
      </c>
      <c r="N251" t="s">
        <v>23</v>
      </c>
      <c r="O251" t="s">
        <v>24</v>
      </c>
      <c r="P251">
        <v>10022</v>
      </c>
      <c r="Q251" t="s">
        <v>25</v>
      </c>
      <c r="R251" t="s">
        <v>26</v>
      </c>
      <c r="S251" t="s">
        <v>45</v>
      </c>
      <c r="T251" t="s">
        <v>60</v>
      </c>
      <c r="U251" t="s">
        <v>28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A4F02-F114-434E-9ECF-CAB1FFDCEC9E}">
  <dimension ref="A1:I20"/>
  <sheetViews>
    <sheetView zoomScale="130" zoomScaleNormal="130" zoomScalePageLayoutView="115" workbookViewId="0">
      <selection activeCell="K18" sqref="K18"/>
    </sheetView>
  </sheetViews>
  <sheetFormatPr defaultRowHeight="14.4" x14ac:dyDescent="0.3"/>
  <sheetData>
    <row r="1" spans="1:9" x14ac:dyDescent="0.3">
      <c r="A1" s="2"/>
      <c r="B1" s="2"/>
      <c r="C1" s="2"/>
      <c r="D1" s="2"/>
      <c r="E1" s="2"/>
      <c r="F1" s="2"/>
      <c r="G1" s="2"/>
      <c r="H1" s="2"/>
      <c r="I1" s="2"/>
    </row>
    <row r="2" spans="1:9" x14ac:dyDescent="0.3">
      <c r="A2" s="2"/>
      <c r="B2" s="2"/>
      <c r="C2" s="2"/>
      <c r="D2" s="2"/>
      <c r="E2" s="2"/>
      <c r="F2" s="2"/>
      <c r="G2" s="2"/>
      <c r="H2" s="2"/>
      <c r="I2" s="2"/>
    </row>
    <row r="3" spans="1:9" x14ac:dyDescent="0.3">
      <c r="A3" s="2"/>
      <c r="B3" s="2"/>
      <c r="C3" s="2"/>
      <c r="D3" s="2"/>
      <c r="E3" s="2"/>
      <c r="F3" s="2"/>
      <c r="G3" s="2"/>
      <c r="H3" s="2"/>
      <c r="I3" s="2"/>
    </row>
    <row r="4" spans="1:9" x14ac:dyDescent="0.3">
      <c r="A4" s="2"/>
      <c r="B4" s="2"/>
      <c r="C4" s="2"/>
      <c r="D4" s="2"/>
      <c r="E4" s="2"/>
      <c r="F4" s="2"/>
      <c r="G4" s="2"/>
      <c r="H4" s="2"/>
      <c r="I4" s="2"/>
    </row>
    <row r="5" spans="1:9" x14ac:dyDescent="0.3">
      <c r="A5" s="2"/>
      <c r="B5" s="2"/>
      <c r="C5" s="2"/>
      <c r="D5" s="2"/>
      <c r="E5" s="2"/>
      <c r="F5" s="2"/>
      <c r="G5" s="2"/>
      <c r="H5" s="2"/>
      <c r="I5" s="2"/>
    </row>
    <row r="6" spans="1:9" x14ac:dyDescent="0.3">
      <c r="A6" s="2"/>
      <c r="B6" s="2"/>
      <c r="C6" s="2"/>
      <c r="D6" s="2"/>
      <c r="E6" s="2"/>
      <c r="F6" s="2"/>
      <c r="G6" s="2"/>
      <c r="H6" s="2"/>
      <c r="I6" s="2"/>
    </row>
    <row r="7" spans="1:9" x14ac:dyDescent="0.3">
      <c r="A7" s="2"/>
      <c r="B7" s="2"/>
      <c r="C7" s="2"/>
      <c r="D7" s="2"/>
      <c r="E7" s="2"/>
      <c r="F7" s="2"/>
      <c r="G7" s="2"/>
      <c r="H7" s="2"/>
      <c r="I7" s="2"/>
    </row>
    <row r="8" spans="1:9" x14ac:dyDescent="0.3">
      <c r="A8" s="2"/>
      <c r="B8" s="2"/>
      <c r="C8" s="2"/>
      <c r="D8" s="2"/>
      <c r="E8" s="2"/>
      <c r="F8" s="2"/>
      <c r="G8" s="2"/>
      <c r="H8" s="2"/>
      <c r="I8" s="2"/>
    </row>
    <row r="9" spans="1:9" x14ac:dyDescent="0.3">
      <c r="A9" s="2"/>
      <c r="B9" s="2"/>
      <c r="C9" s="2"/>
      <c r="D9" s="2"/>
      <c r="E9" s="2"/>
      <c r="F9" s="2"/>
      <c r="G9" s="2"/>
      <c r="H9" s="2"/>
      <c r="I9" s="2"/>
    </row>
    <row r="10" spans="1:9" x14ac:dyDescent="0.3">
      <c r="A10" s="2"/>
      <c r="B10" s="2"/>
      <c r="C10" s="2"/>
      <c r="D10" s="2"/>
      <c r="E10" s="2"/>
      <c r="F10" s="2"/>
      <c r="G10" s="2"/>
      <c r="H10" s="2"/>
      <c r="I10" s="2"/>
    </row>
    <row r="11" spans="1:9" x14ac:dyDescent="0.3">
      <c r="A11" s="2"/>
      <c r="B11" s="2"/>
      <c r="C11" s="2"/>
      <c r="D11" s="2"/>
      <c r="E11" s="2"/>
      <c r="F11" s="2"/>
      <c r="G11" s="2"/>
      <c r="H11" s="2"/>
      <c r="I11" s="2"/>
    </row>
    <row r="12" spans="1:9" x14ac:dyDescent="0.3">
      <c r="A12" s="2"/>
      <c r="B12" s="2"/>
      <c r="C12" s="2"/>
      <c r="D12" s="2"/>
      <c r="E12" s="2"/>
      <c r="F12" s="2"/>
      <c r="G12" s="2"/>
      <c r="H12" s="2"/>
      <c r="I12" s="2"/>
    </row>
    <row r="13" spans="1:9" x14ac:dyDescent="0.3">
      <c r="A13" s="2"/>
      <c r="B13" s="2"/>
      <c r="C13" s="2"/>
      <c r="D13" s="2"/>
      <c r="E13" s="2"/>
      <c r="F13" s="2"/>
      <c r="G13" s="2"/>
      <c r="H13" s="2"/>
      <c r="I13" s="2"/>
    </row>
    <row r="14" spans="1:9" x14ac:dyDescent="0.3">
      <c r="A14" s="2"/>
      <c r="B14" s="2"/>
      <c r="C14" s="2"/>
      <c r="D14" s="2"/>
      <c r="E14" s="2"/>
      <c r="F14" s="2"/>
      <c r="G14" s="2"/>
      <c r="H14" s="2"/>
      <c r="I14" s="2"/>
    </row>
    <row r="15" spans="1:9" x14ac:dyDescent="0.3">
      <c r="A15" s="2"/>
      <c r="B15" s="2"/>
      <c r="C15" s="2"/>
      <c r="D15" s="2"/>
      <c r="E15" s="2"/>
      <c r="F15" s="2"/>
      <c r="G15" s="2"/>
      <c r="H15" s="2"/>
      <c r="I15" s="2"/>
    </row>
    <row r="16" spans="1:9" x14ac:dyDescent="0.3">
      <c r="A16" s="2"/>
      <c r="B16" s="2"/>
      <c r="C16" s="2"/>
      <c r="D16" s="2"/>
      <c r="E16" s="2"/>
      <c r="F16" s="2"/>
      <c r="G16" s="2"/>
      <c r="H16" s="2"/>
      <c r="I16" s="2"/>
    </row>
    <row r="17" spans="1:9" x14ac:dyDescent="0.3">
      <c r="A17" s="2"/>
      <c r="B17" s="2"/>
      <c r="C17" s="2"/>
      <c r="D17" s="2"/>
      <c r="E17" s="2"/>
      <c r="F17" s="2"/>
      <c r="G17" s="2"/>
      <c r="H17" s="2"/>
      <c r="I17" s="2"/>
    </row>
    <row r="18" spans="1:9" x14ac:dyDescent="0.3">
      <c r="A18" s="2"/>
      <c r="B18" s="2"/>
      <c r="C18" s="2"/>
      <c r="D18" s="2"/>
      <c r="E18" s="2"/>
      <c r="F18" s="2"/>
      <c r="G18" s="2"/>
      <c r="H18" s="2"/>
      <c r="I18" s="2"/>
    </row>
    <row r="19" spans="1:9" x14ac:dyDescent="0.3">
      <c r="A19" s="2"/>
      <c r="B19" s="2"/>
      <c r="C19" s="2"/>
      <c r="D19" s="2"/>
      <c r="E19" s="2"/>
      <c r="F19" s="2"/>
      <c r="G19" s="2"/>
      <c r="H19" s="2"/>
      <c r="I19" s="2"/>
    </row>
    <row r="20" spans="1:9" x14ac:dyDescent="0.3">
      <c r="A20" s="2"/>
      <c r="B20" s="2"/>
      <c r="C20" s="2"/>
      <c r="D20" s="2"/>
      <c r="E20" s="2"/>
      <c r="F20" s="2"/>
      <c r="G20" s="2"/>
      <c r="H20" s="2"/>
      <c r="I20"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E8EF1-B4CA-4250-A7A7-3535F89D9C8B}">
  <dimension ref="A2:H40"/>
  <sheetViews>
    <sheetView topLeftCell="A7" workbookViewId="0">
      <selection activeCell="J21" sqref="J21"/>
    </sheetView>
  </sheetViews>
  <sheetFormatPr defaultRowHeight="14.4" x14ac:dyDescent="0.3"/>
  <cols>
    <col min="1" max="1" width="15" bestFit="1" customWidth="1"/>
    <col min="2" max="2" width="11.77734375" bestFit="1" customWidth="1"/>
    <col min="3" max="3" width="20.21875" bestFit="1" customWidth="1"/>
    <col min="4" max="4" width="15" bestFit="1" customWidth="1"/>
    <col min="5" max="5" width="12.21875" bestFit="1" customWidth="1"/>
    <col min="7" max="7" width="12.44140625" bestFit="1" customWidth="1"/>
    <col min="8" max="8" width="23.6640625" bestFit="1" customWidth="1"/>
    <col min="9" max="9" width="13.21875" bestFit="1" customWidth="1"/>
  </cols>
  <sheetData>
    <row r="2" spans="1:8" x14ac:dyDescent="0.3">
      <c r="A2" s="3" t="s">
        <v>190</v>
      </c>
      <c r="B2" t="s">
        <v>193</v>
      </c>
      <c r="D2" s="3" t="s">
        <v>190</v>
      </c>
      <c r="E2" t="s">
        <v>192</v>
      </c>
      <c r="G2" s="3" t="s">
        <v>190</v>
      </c>
      <c r="H2" t="s">
        <v>198</v>
      </c>
    </row>
    <row r="3" spans="1:8" x14ac:dyDescent="0.3">
      <c r="A3" s="4" t="s">
        <v>55</v>
      </c>
      <c r="B3" s="9">
        <v>10</v>
      </c>
      <c r="D3" s="4" t="s">
        <v>51</v>
      </c>
      <c r="E3" s="9">
        <v>10</v>
      </c>
      <c r="G3" s="4">
        <v>2078.2800000000002</v>
      </c>
      <c r="H3" s="9">
        <v>36</v>
      </c>
    </row>
    <row r="4" spans="1:8" x14ac:dyDescent="0.3">
      <c r="A4" s="4" t="s">
        <v>191</v>
      </c>
      <c r="B4" s="9">
        <v>10</v>
      </c>
      <c r="D4" s="4" t="s">
        <v>191</v>
      </c>
      <c r="E4" s="9">
        <v>10</v>
      </c>
      <c r="G4" s="4">
        <v>2233.69</v>
      </c>
      <c r="H4" s="9">
        <v>37</v>
      </c>
    </row>
    <row r="5" spans="1:8" x14ac:dyDescent="0.3">
      <c r="G5" s="4">
        <v>2617.16</v>
      </c>
      <c r="H5" s="9">
        <v>26</v>
      </c>
    </row>
    <row r="6" spans="1:8" x14ac:dyDescent="0.3">
      <c r="D6" t="s">
        <v>196</v>
      </c>
      <c r="G6" s="4">
        <v>3385.9</v>
      </c>
      <c r="H6" s="9">
        <v>35</v>
      </c>
    </row>
    <row r="7" spans="1:8" x14ac:dyDescent="0.3">
      <c r="D7" s="9">
        <v>10</v>
      </c>
      <c r="G7" s="4">
        <v>3880.2</v>
      </c>
      <c r="H7" s="9">
        <v>60</v>
      </c>
    </row>
    <row r="8" spans="1:8" x14ac:dyDescent="0.3">
      <c r="G8" s="4">
        <v>3933.93</v>
      </c>
      <c r="H8" s="9">
        <v>39</v>
      </c>
    </row>
    <row r="9" spans="1:8" x14ac:dyDescent="0.3">
      <c r="G9" s="4">
        <v>4048</v>
      </c>
      <c r="H9" s="9">
        <v>46</v>
      </c>
    </row>
    <row r="10" spans="1:8" x14ac:dyDescent="0.3">
      <c r="D10" t="s">
        <v>195</v>
      </c>
      <c r="G10" s="4">
        <v>4302.08</v>
      </c>
      <c r="H10" s="9">
        <v>32</v>
      </c>
    </row>
    <row r="11" spans="1:8" x14ac:dyDescent="0.3">
      <c r="D11" s="9">
        <v>36681.129999999997</v>
      </c>
      <c r="G11" s="4">
        <v>4905.3900000000003</v>
      </c>
      <c r="H11" s="9">
        <v>21</v>
      </c>
    </row>
    <row r="12" spans="1:8" x14ac:dyDescent="0.3">
      <c r="A12" s="5" t="s">
        <v>194</v>
      </c>
      <c r="B12" s="6">
        <f>COUNTA(_xlfn.UNIQUE(sales_data_sample!J2:J251))</f>
        <v>7</v>
      </c>
      <c r="G12" s="4">
        <v>5296.5</v>
      </c>
      <c r="H12" s="9">
        <v>55</v>
      </c>
    </row>
    <row r="13" spans="1:8" x14ac:dyDescent="0.3">
      <c r="G13" s="4" t="s">
        <v>191</v>
      </c>
      <c r="H13" s="9">
        <v>387</v>
      </c>
    </row>
    <row r="14" spans="1:8" x14ac:dyDescent="0.3">
      <c r="D14" t="s">
        <v>197</v>
      </c>
    </row>
    <row r="15" spans="1:8" x14ac:dyDescent="0.3">
      <c r="A15" s="3" t="s">
        <v>190</v>
      </c>
      <c r="B15" t="s">
        <v>197</v>
      </c>
      <c r="D15" s="9">
        <v>3668.1129999999998</v>
      </c>
    </row>
    <row r="16" spans="1:8" x14ac:dyDescent="0.3">
      <c r="A16" s="4" t="s">
        <v>55</v>
      </c>
      <c r="B16" s="9">
        <v>3668.1129999999998</v>
      </c>
      <c r="G16" s="3" t="s">
        <v>190</v>
      </c>
      <c r="H16" t="s">
        <v>195</v>
      </c>
    </row>
    <row r="17" spans="1:8" x14ac:dyDescent="0.3">
      <c r="A17" s="4" t="s">
        <v>191</v>
      </c>
      <c r="B17" s="9">
        <v>3668.1129999999998</v>
      </c>
      <c r="G17" s="4" t="s">
        <v>36</v>
      </c>
      <c r="H17">
        <v>506562.51999999984</v>
      </c>
    </row>
    <row r="18" spans="1:8" x14ac:dyDescent="0.3">
      <c r="D18" s="3" t="s">
        <v>190</v>
      </c>
      <c r="E18" t="s">
        <v>195</v>
      </c>
      <c r="G18" s="4" t="s">
        <v>25</v>
      </c>
      <c r="H18">
        <v>396718.32999999961</v>
      </c>
    </row>
    <row r="19" spans="1:8" x14ac:dyDescent="0.3">
      <c r="A19" s="3" t="s">
        <v>190</v>
      </c>
      <c r="B19" t="s">
        <v>198</v>
      </c>
      <c r="D19" s="4" t="s">
        <v>55</v>
      </c>
      <c r="E19" s="9">
        <v>36681.129999999997</v>
      </c>
      <c r="G19" s="4" t="s">
        <v>191</v>
      </c>
      <c r="H19">
        <v>903280.84999999939</v>
      </c>
    </row>
    <row r="20" spans="1:8" x14ac:dyDescent="0.3">
      <c r="A20" s="4">
        <v>2078.2800000000002</v>
      </c>
      <c r="B20" s="9">
        <v>36</v>
      </c>
      <c r="D20" s="4" t="s">
        <v>21</v>
      </c>
      <c r="E20" s="9">
        <v>2780.9</v>
      </c>
    </row>
    <row r="21" spans="1:8" x14ac:dyDescent="0.3">
      <c r="A21" s="4">
        <v>2233.69</v>
      </c>
      <c r="B21" s="9">
        <v>37</v>
      </c>
      <c r="D21" s="4" t="s">
        <v>96</v>
      </c>
      <c r="E21" s="9">
        <v>23893.329999999998</v>
      </c>
    </row>
    <row r="22" spans="1:8" x14ac:dyDescent="0.3">
      <c r="A22" s="4">
        <v>2617.16</v>
      </c>
      <c r="B22" s="9">
        <v>26</v>
      </c>
      <c r="D22" s="4" t="s">
        <v>111</v>
      </c>
      <c r="E22" s="9">
        <v>1089.3599999999999</v>
      </c>
    </row>
    <row r="23" spans="1:8" x14ac:dyDescent="0.3">
      <c r="A23" s="4">
        <v>3385.9</v>
      </c>
      <c r="B23" s="9">
        <v>35</v>
      </c>
      <c r="D23" s="4" t="s">
        <v>78</v>
      </c>
      <c r="E23" s="9">
        <v>17715.309999999998</v>
      </c>
    </row>
    <row r="24" spans="1:8" x14ac:dyDescent="0.3">
      <c r="A24" s="4">
        <v>3880.2</v>
      </c>
      <c r="B24" s="9">
        <v>60</v>
      </c>
      <c r="D24" s="4" t="s">
        <v>92</v>
      </c>
      <c r="E24" s="9">
        <v>69410.95</v>
      </c>
      <c r="G24" s="7" t="s">
        <v>200</v>
      </c>
      <c r="H24">
        <f>SUM(sales_data_sample!E2:E251)</f>
        <v>903280.85000000068</v>
      </c>
    </row>
    <row r="25" spans="1:8" x14ac:dyDescent="0.3">
      <c r="A25" s="4">
        <v>3933.93</v>
      </c>
      <c r="B25" s="9">
        <v>39</v>
      </c>
      <c r="D25" s="4" t="s">
        <v>191</v>
      </c>
      <c r="E25" s="9">
        <v>151570.97999999998</v>
      </c>
      <c r="G25" t="s">
        <v>201</v>
      </c>
      <c r="H25" s="8">
        <f>COUNTA(_xlfn.UNIQUE(sales_data_sample!D2:D251))</f>
        <v>17</v>
      </c>
    </row>
    <row r="26" spans="1:8" x14ac:dyDescent="0.3">
      <c r="A26" s="4">
        <v>4048</v>
      </c>
      <c r="B26" s="9">
        <v>46</v>
      </c>
      <c r="G26" s="8" t="s">
        <v>202</v>
      </c>
      <c r="H26">
        <f>SUM(sales_data_sample!E2:E251)/COUNTA(_xlfn.UNIQUE(sales_data_sample!D2:D251))</f>
        <v>53134.167647058865</v>
      </c>
    </row>
    <row r="27" spans="1:8" x14ac:dyDescent="0.3">
      <c r="A27" s="4">
        <v>4302.08</v>
      </c>
      <c r="B27" s="9">
        <v>32</v>
      </c>
      <c r="G27" t="s">
        <v>203</v>
      </c>
      <c r="H27" s="8">
        <f>COUNTA(_xlfn.UNIQUE(sales_data_sample!J2:J251))</f>
        <v>7</v>
      </c>
    </row>
    <row r="28" spans="1:8" x14ac:dyDescent="0.3">
      <c r="A28" s="4">
        <v>4905.3900000000003</v>
      </c>
      <c r="B28" s="9">
        <v>21</v>
      </c>
      <c r="G28" s="8" t="s">
        <v>204</v>
      </c>
      <c r="H28">
        <f>SUM(sales_data_sample!E2:E251)/COUNTA(_xlfn.UNIQUE(sales_data_sample!J2:J251))</f>
        <v>129040.12142857153</v>
      </c>
    </row>
    <row r="29" spans="1:8" x14ac:dyDescent="0.3">
      <c r="A29" s="4">
        <v>5296.5</v>
      </c>
      <c r="B29" s="9">
        <v>55</v>
      </c>
    </row>
    <row r="30" spans="1:8" x14ac:dyDescent="0.3">
      <c r="A30" s="4" t="s">
        <v>191</v>
      </c>
      <c r="B30" s="9">
        <v>387</v>
      </c>
    </row>
    <row r="33" spans="1:2" x14ac:dyDescent="0.3">
      <c r="A33" s="3" t="s">
        <v>190</v>
      </c>
      <c r="B33" t="s">
        <v>199</v>
      </c>
    </row>
    <row r="34" spans="1:2" x14ac:dyDescent="0.3">
      <c r="A34" s="4" t="s">
        <v>55</v>
      </c>
      <c r="B34" s="9">
        <v>1055</v>
      </c>
    </row>
    <row r="35" spans="1:2" x14ac:dyDescent="0.3">
      <c r="A35" s="4" t="s">
        <v>21</v>
      </c>
      <c r="B35" s="9">
        <v>213</v>
      </c>
    </row>
    <row r="36" spans="1:2" x14ac:dyDescent="0.3">
      <c r="A36" s="4" t="s">
        <v>96</v>
      </c>
      <c r="B36" s="9">
        <v>651</v>
      </c>
    </row>
    <row r="37" spans="1:2" x14ac:dyDescent="0.3">
      <c r="A37" s="4" t="s">
        <v>111</v>
      </c>
      <c r="B37" s="9">
        <v>90</v>
      </c>
    </row>
    <row r="38" spans="1:2" x14ac:dyDescent="0.3">
      <c r="A38" s="4" t="s">
        <v>78</v>
      </c>
      <c r="B38" s="9">
        <v>533</v>
      </c>
    </row>
    <row r="39" spans="1:2" x14ac:dyDescent="0.3">
      <c r="A39" s="4" t="s">
        <v>92</v>
      </c>
      <c r="B39" s="9">
        <v>1740</v>
      </c>
    </row>
    <row r="40" spans="1:2" x14ac:dyDescent="0.3">
      <c r="A40" s="4" t="s">
        <v>191</v>
      </c>
      <c r="B40" s="9">
        <v>4282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sales_data_sample</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Ishika</dc:creator>
  <cp:lastModifiedBy>ishikaprajapati03@outlook.com</cp:lastModifiedBy>
  <cp:lastPrinted>2026-06-13T13:17:21Z</cp:lastPrinted>
  <dcterms:created xsi:type="dcterms:W3CDTF">2026-06-13T06:26:32Z</dcterms:created>
  <dcterms:modified xsi:type="dcterms:W3CDTF">2026-06-14T03:15:37Z</dcterms:modified>
</cp:coreProperties>
</file>